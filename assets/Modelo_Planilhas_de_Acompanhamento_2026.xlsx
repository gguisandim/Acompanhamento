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eceb5d305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- Acompanhamento" sheetId="1" r:id="Re0464547bd0a4649"/>
    <x:sheet xmlns:r="http://schemas.openxmlformats.org/officeDocument/2006/relationships" name="2 - Resultado Final" sheetId="2" r:id="R5dacd9eda4ed486b"/>
  </x:sheets>
</x:workbook>
</file>

<file path=xl/comments1.xml><?xml version="1.0" encoding="utf-8"?>
<x:comments xmlns:x="http://schemas.openxmlformats.org/spreadsheetml/2006/main">
  <x:authors>
    <x:author>tc={94C2F5BD-562B-F750-E400-3701C0B6D338}</x:author>
  </x:authors>
  <x:commentList>
    <x:comment ref="AO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 frequência considera as marcações P e F dos módulos 1 a 6; N/A e células vazias são ignoradas.</x:t>
        </x:r>
      </x:text>
    </x:comment>
  </x:commentList>
</x:comments>
</file>

<file path=xl/comments2.xml><?xml version="1.0" encoding="utf-8"?>
<x:comments xmlns:x="http://schemas.openxmlformats.org/spreadsheetml/2006/main">
  <x:authors>
    <x:author>tc={2C1B2636-71A3-A5D9-4C04-A7AEE34DC76C}</x:author>
  </x:authors>
  <x:commentList>
    <x:comment ref="L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 certificação é calculada automaticamente após os seis módulos e a entrega do trabalho final serem preenchidos.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6"/>
      <x:color rgb="FF111111"/>
      <x:name val="Aptos Display"/>
    </x:font>
    <x:font>
      <x:b/>
      <x:sz val="10"/>
      <x:color rgb="FFFFFFFF"/>
      <x:name val="Aptos"/>
    </x:font>
    <x:font>
      <x:i/>
      <x:sz val="10"/>
      <x:color rgb="FF6B5A00"/>
      <x:name val="Aptos"/>
    </x:font>
    <x:font>
      <x:b/>
      <x:sz val="12"/>
      <x:color rgb="FFFFFFFF"/>
      <x:name val="Aptos"/>
    </x:font>
    <x:font>
      <x:b/>
      <x:sz val="9"/>
      <x:color rgb="FF183514"/>
      <x:name val="Aptos"/>
    </x:font>
    <x:font>
      <x:sz val="10"/>
      <x:color rgb="FF1F2933"/>
      <x:name val="Aptos"/>
    </x:font>
    <x:font>
      <x:b/>
      <x:sz val="11"/>
      <x:color rgb="FFFFFFFF"/>
      <x:name val="Aptos"/>
    </x:font>
    <x:font>
      <x:i/>
      <x:sz val="10"/>
      <x:color rgb="FF6A746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FFC514"/>
      </x:patternFill>
    </x:fill>
    <x:fill>
      <x:patternFill patternType="solid">
        <x:fgColor rgb="FF77BE63"/>
      </x:patternFill>
    </x:fill>
    <x:fill>
      <x:patternFill patternType="solid">
        <x:fgColor rgb="FFFFF4CC"/>
      </x:patternFill>
    </x:fill>
    <x:fill>
      <x:patternFill patternType="solid">
        <x:fgColor rgb="FF3F9E2B"/>
      </x:patternFill>
    </x:fill>
    <x:fill>
      <x:patternFill patternType="solid">
        <x:fgColor rgb="FFD9EFD1"/>
      </x:patternFill>
    </x:fill>
    <x:fill>
      <x:patternFill patternType="solid">
        <x:fgColor rgb="FFEEF8EA"/>
      </x:patternFill>
    </x:fill>
    <x:fill>
      <x:patternFill patternType="solid">
        <x:fgColor rgb="FFB9E3AA"/>
      </x:patternFill>
    </x:fill>
    <x:fill>
      <x:patternFill patternType="solid">
        <x:fgColor rgb="FFFAFCF9"/>
      </x:patternFill>
    </x:fill>
  </x:fills>
  <x:borders count="23">
    <x:border/>
    <x:border>
      <x:left style="medium">
        <x:color rgb="FFD39E00"/>
      </x:left>
      <x:top style="medium">
        <x:color rgb="FFD39E00"/>
      </x:top>
      <x:bottom style="medium">
        <x:color rgb="FFD39E00"/>
      </x:bottom>
    </x:border>
    <x:border>
      <x:top style="medium">
        <x:color rgb="FFD39E00"/>
      </x:top>
      <x:bottom style="medium">
        <x:color rgb="FFD39E00"/>
      </x:bottom>
    </x:border>
    <x:border>
      <x:right style="medium">
        <x:color rgb="FFD39E00"/>
      </x:right>
      <x:top style="medium">
        <x:color rgb="FFD39E00"/>
      </x:top>
      <x:bottom style="medium">
        <x:color rgb="FFD39E00"/>
      </x:bottom>
    </x:border>
    <x:border>
      <x:left style="thin">
        <x:color rgb="FF5C7A54"/>
      </x:left>
      <x:right style="thin">
        <x:color rgb="FF5C7A54"/>
      </x:right>
      <x:top style="thin">
        <x:color rgb="FF5C7A54"/>
      </x:top>
      <x:bottom style="thin">
        <x:color rgb="FF5C7A54"/>
      </x:bottom>
    </x:border>
    <x:border>
      <x:left style="thin">
        <x:color rgb="FFD7C36A"/>
      </x:left>
      <x:right style="thin">
        <x:color rgb="FFD7C36A"/>
      </x:right>
      <x:top style="thin">
        <x:color rgb="FFD7C36A"/>
      </x:top>
      <x:bottom style="thin">
        <x:color rgb="FFD7C36A"/>
      </x:bottom>
    </x:border>
    <x:border>
      <x:left style="medium">
        <x:color rgb="FF5C7A54"/>
      </x:left>
      <x:top style="medium">
        <x:color rgb="FF5C7A54"/>
      </x:top>
      <x:bottom style="medium">
        <x:color rgb="FF5C7A54"/>
      </x:bottom>
    </x:border>
    <x:border>
      <x:top style="medium">
        <x:color rgb="FF5C7A54"/>
      </x:top>
      <x:bottom style="medium">
        <x:color rgb="FF5C7A54"/>
      </x:bottom>
    </x:border>
    <x:border>
      <x:right style="medium">
        <x:color rgb="FF5C7A54"/>
      </x:right>
      <x:top style="medium">
        <x:color rgb="FF5C7A54"/>
      </x:top>
      <x:bottom style="medium">
        <x:color rgb="FF5C7A54"/>
      </x:bottom>
    </x:border>
    <x:border>
      <x:right style="thin">
        <x:color rgb="FFB9CDB3"/>
      </x:right>
      <x:bottom style="thin">
        <x:color rgb="FFC8D9C3"/>
      </x:bottom>
    </x:border>
    <x:border>
      <x:left style="thin">
        <x:color rgb="FFB9CDB3"/>
      </x:left>
      <x:right style="thin">
        <x:color rgb="FFB9CDB3"/>
      </x:right>
      <x:bottom style="thin">
        <x:color rgb="FFC8D9C3"/>
      </x:bottom>
    </x:border>
    <x:border>
      <x:left style="thin">
        <x:color rgb="FFB9CDB3"/>
      </x:left>
      <x:bottom style="thin">
        <x:color rgb="FFC8D9C3"/>
      </x:bottom>
    </x:border>
    <x:border>
      <x:left style="thin">
        <x:color rgb="FFC8D9C3"/>
      </x:left>
      <x:top style="thin">
        <x:color rgb="FFC8D9C3"/>
      </x:top>
      <x:bottom style="thin">
        <x:color rgb="FFC8D9C3"/>
      </x:bottom>
    </x:border>
    <x:border>
      <x:top style="thin">
        <x:color rgb="FFC8D9C3"/>
      </x:top>
      <x:bottom style="thin">
        <x:color rgb="FFC8D9C3"/>
      </x:bottom>
    </x:border>
    <x:border>
      <x:right style="thin">
        <x:color rgb="FFC8D9C3"/>
      </x:right>
      <x:top style="thin">
        <x:color rgb="FFC8D9C3"/>
      </x:top>
      <x:bottom style="thin">
        <x:color rgb="FFC8D9C3"/>
      </x:bottom>
    </x:border>
    <x:border>
      <x:left style="thin">
        <x:color rgb="FFAFC6A8"/>
      </x:left>
      <x:top style="thin">
        <x:color rgb="FFAFC6A8"/>
      </x:top>
    </x:border>
    <x:border>
      <x:top style="thin">
        <x:color rgb="FFAFC6A8"/>
      </x:top>
    </x:border>
    <x:border>
      <x:right style="thin">
        <x:color rgb="FFAFC6A8"/>
      </x:right>
      <x:top style="thin">
        <x:color rgb="FFAFC6A8"/>
      </x:top>
    </x:border>
    <x:border>
      <x:left style="thin">
        <x:color rgb="FFAFC6A8"/>
      </x:left>
    </x:border>
    <x:border>
      <x:right style="thin">
        <x:color rgb="FFAFC6A8"/>
      </x:right>
    </x:border>
    <x:border>
      <x:left style="thin">
        <x:color rgb="FFAFC6A8"/>
      </x:left>
      <x:bottom style="thin">
        <x:color rgb="FFAFC6A8"/>
      </x:bottom>
    </x:border>
    <x:border>
      <x:bottom style="thin">
        <x:color rgb="FFAFC6A8"/>
      </x:bottom>
    </x:border>
    <x:border>
      <x:right style="thin">
        <x:color rgb="FFAFC6A8"/>
      </x:right>
      <x:bottom style="thin">
        <x:color rgb="FFAFC6A8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horizontal="left"/>
    </x:xf>
    <x:xf numFmtId="0" fontId="3" fillId="4" borderId="5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9" xfId="0" applyNumberFormat="1" applyFont="1" applyFill="1" applyBorder="1" applyAlignment="1">
      <x:alignment vertical="center"/>
    </x:xf>
    <x:xf numFmtId="0" fontId="6" fillId="7" borderId="10" xfId="0" applyNumberFormat="1" applyFont="1" applyFill="1" applyBorder="1" applyAlignment="1">
      <x:alignment vertical="center"/>
    </x:xf>
    <x:xf numFmtId="0" fontId="6" fillId="7" borderId="11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left" vertic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6" fillId="7" borderId="1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9" xfId="0" applyNumberFormat="1" applyFont="1" applyFill="1" applyBorder="1"/>
    <x:xf numFmtId="0" fontId="6" fillId="8" borderId="10" xfId="0" applyNumberFormat="1" applyFont="1" applyFill="1" applyBorder="1"/>
    <x:xf numFmtId="0" fontId="6" fillId="8" borderId="11" xfId="0" applyNumberFormat="1" applyFont="1" applyFill="1" applyBorder="1"/>
    <x:xf numFmtId="0" fontId="6" fillId="8" borderId="9" xfId="0" applyNumberFormat="1" applyFont="1" applyFill="1" applyBorder="1" applyAlignment="1">
      <x:alignment vertical="center"/>
    </x:xf>
    <x:xf numFmtId="0" fontId="6" fillId="8" borderId="10" xfId="0" applyNumberFormat="1" applyFont="1" applyFill="1" applyBorder="1" applyAlignment="1">
      <x:alignment vertical="center"/>
    </x:xf>
    <x:xf numFmtId="0" fontId="6" fillId="8" borderId="11" xfId="0" applyNumberFormat="1" applyFont="1" applyFill="1" applyBorder="1" applyAlignment="1">
      <x:alignment vertical="center"/>
    </x:xf>
    <x:xf numFmtId="0" fontId="6" fillId="8" borderId="10" xfId="0" applyNumberFormat="1" applyFont="1" applyFill="1" applyBorder="1" applyAlignment="1">
      <x:alignment horizontal="left" vertical="center"/>
    </x:xf>
    <x:xf numFmtId="0" fontId="6" fillId="8" borderId="10" xfId="0" applyNumberFormat="1" applyFont="1" applyFill="1" applyBorder="1" applyAlignment="1">
      <x:alignment horizontal="center" vertical="center"/>
    </x:xf>
    <x:xf numFmtId="0" fontId="6" fillId="8" borderId="11" xfId="0" applyNumberFormat="1" applyFont="1" applyFill="1" applyBorder="1" applyAlignment="1">
      <x:alignment horizontal="center" vertical="center"/>
    </x:xf>
    <x:xf numFmtId="200" fontId="6" fillId="7" borderId="10" xfId="0" applyNumberFormat="1" applyFont="1" applyFill="1" applyBorder="1" applyAlignment="1">
      <x:alignment horizontal="center" vertical="center"/>
    </x:xf>
    <x:xf numFmtId="200" fontId="6" fillId="8" borderId="1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6" xfId="0" applyNumberFormat="1" applyFont="1" applyFill="1" applyBorder="1" applyAlignment="1">
      <x:alignment horizontal="left"/>
    </x:xf>
    <x:xf numFmtId="0" fontId="7" fillId="5" borderId="7" xfId="0" applyNumberFormat="1" applyFont="1" applyFill="1" applyBorder="1" applyAlignment="1">
      <x:alignment horizontal="left"/>
    </x:xf>
    <x:xf numFmtId="0" fontId="7" fillId="5" borderId="8" xfId="0" applyNumberFormat="1" applyFont="1" applyFill="1" applyBorder="1" applyAlignment="1">
      <x:alignment horizontal="left"/>
    </x:xf>
    <x:xf numFmtId="0" fontId="7" fillId="5" borderId="6" xfId="0" applyNumberFormat="1" applyFont="1" applyFill="1" applyBorder="1" applyAlignment="1">
      <x:alignment horizontal="left" vertical="center"/>
    </x:xf>
    <x:xf numFmtId="0" fontId="7" fillId="5" borderId="7" xfId="0" applyNumberFormat="1" applyFont="1" applyFill="1" applyBorder="1" applyAlignment="1">
      <x:alignment horizontal="left" vertical="center"/>
    </x:xf>
    <x:xf numFmtId="0" fontId="7" fillId="5" borderId="8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2" xfId="0" applyNumberFormat="1" applyFont="1" applyFill="1" applyBorder="1"/>
    <x:xf numFmtId="0" fontId="6" fillId="9" borderId="13" xfId="0" applyNumberFormat="1" applyFont="1" applyFill="1" applyBorder="1"/>
    <x:xf numFmtId="0" fontId="6" fillId="9" borderId="14" xfId="0" applyNumberFormat="1" applyFont="1" applyFill="1" applyBorder="1"/>
    <x:xf numFmtId="0" fontId="6" fillId="9" borderId="12" xfId="0" applyNumberFormat="1" applyFont="1" applyFill="1" applyBorder="1" applyAlignment="1">
      <x:alignment wrapText="1"/>
    </x:xf>
    <x:xf numFmtId="0" fontId="6" fillId="9" borderId="13" xfId="0" applyNumberFormat="1" applyFont="1" applyFill="1" applyBorder="1" applyAlignment="1">
      <x:alignment wrapText="1"/>
    </x:xf>
    <x:xf numFmtId="0" fontId="6" fillId="9" borderId="14" xfId="0" applyNumberFormat="1" applyFont="1" applyFill="1" applyBorder="1" applyAlignment="1">
      <x:alignment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/>
    <x:xf numFmtId="0" fontId="8" fillId="9" borderId="15" xfId="0" applyNumberFormat="1" applyFont="1" applyFill="1" applyBorder="1"/>
    <x:xf numFmtId="0" fontId="8" fillId="9" borderId="16" xfId="0" applyNumberFormat="1" applyFont="1" applyFill="1" applyBorder="1"/>
    <x:xf numFmtId="0" fontId="8" fillId="9" borderId="17" xfId="0" applyNumberFormat="1" applyFont="1" applyFill="1" applyBorder="1"/>
    <x:xf numFmtId="0" fontId="8" fillId="9" borderId="18" xfId="0" applyNumberFormat="1" applyFont="1" applyFill="1" applyBorder="1"/>
    <x:xf numFmtId="0" fontId="8" fillId="9" borderId="19" xfId="0" applyNumberFormat="1" applyFont="1" applyFill="1" applyBorder="1"/>
    <x:xf numFmtId="0" fontId="8" fillId="9" borderId="20" xfId="0" applyNumberFormat="1" applyFont="1" applyFill="1" applyBorder="1"/>
    <x:xf numFmtId="0" fontId="8" fillId="9" borderId="21" xfId="0" applyNumberFormat="1" applyFont="1" applyFill="1" applyBorder="1"/>
    <x:xf numFmtId="0" fontId="8" fillId="9" borderId="22" xfId="0" applyNumberFormat="1" applyFont="1" applyFill="1" applyBorder="1"/>
    <x:xf numFmtId="0" fontId="8" fillId="9" borderId="15" xfId="0" applyNumberFormat="1" applyFont="1" applyFill="1" applyBorder="1" applyAlignment="1">
      <x:alignment wrapText="1"/>
    </x:xf>
    <x:xf numFmtId="0" fontId="8" fillId="9" borderId="16" xfId="0" applyNumberFormat="1" applyFont="1" applyFill="1" applyBorder="1" applyAlignment="1">
      <x:alignment wrapText="1"/>
    </x:xf>
    <x:xf numFmtId="0" fontId="8" fillId="9" borderId="17" xfId="0" applyNumberFormat="1" applyFont="1" applyFill="1" applyBorder="1" applyAlignment="1">
      <x:alignment wrapText="1"/>
    </x:xf>
    <x:xf numFmtId="0" fontId="8" fillId="9" borderId="18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19" xfId="0" applyNumberFormat="1" applyFont="1" applyFill="1" applyBorder="1" applyAlignment="1">
      <x:alignment wrapText="1"/>
    </x:xf>
    <x:xf numFmtId="0" fontId="8" fillId="9" borderId="20" xfId="0" applyNumberFormat="1" applyFont="1" applyFill="1" applyBorder="1" applyAlignment="1">
      <x:alignment wrapText="1"/>
    </x:xf>
    <x:xf numFmtId="0" fontId="8" fillId="9" borderId="21" xfId="0" applyNumberFormat="1" applyFont="1" applyFill="1" applyBorder="1" applyAlignment="1">
      <x:alignment wrapText="1"/>
    </x:xf>
    <x:xf numFmtId="0" fontId="8" fillId="9" borderId="22" xfId="0" applyNumberFormat="1" applyFont="1" applyFill="1" applyBorder="1" applyAlignment="1">
      <x:alignment wrapText="1"/>
    </x:xf>
    <x:xf numFmtId="0" fontId="8" fillId="9" borderId="15" xfId="0" applyNumberFormat="1" applyFont="1" applyFill="1" applyBorder="1" applyAlignment="1">
      <x:alignment horizontal="left" wrapText="1"/>
    </x:xf>
    <x:xf numFmtId="0" fontId="8" fillId="9" borderId="16" xfId="0" applyNumberFormat="1" applyFont="1" applyFill="1" applyBorder="1" applyAlignment="1">
      <x:alignment horizontal="left" wrapText="1"/>
    </x:xf>
    <x:xf numFmtId="0" fontId="8" fillId="9" borderId="17" xfId="0" applyNumberFormat="1" applyFont="1" applyFill="1" applyBorder="1" applyAlignment="1">
      <x:alignment horizontal="left" wrapText="1"/>
    </x:xf>
    <x:xf numFmtId="0" fontId="8" fillId="9" borderId="18" xfId="0" applyNumberFormat="1" applyFont="1" applyFill="1" applyBorder="1" applyAlignment="1">
      <x:alignment horizontal="left" wrapText="1"/>
    </x:xf>
    <x:xf numFmtId="0" fontId="8" fillId="9" borderId="0" xfId="0" applyNumberFormat="1" applyFont="1" applyFill="1" applyBorder="1" applyAlignment="1">
      <x:alignment horizontal="left" wrapText="1"/>
    </x:xf>
    <x:xf numFmtId="0" fontId="8" fillId="9" borderId="19" xfId="0" applyNumberFormat="1" applyFont="1" applyFill="1" applyBorder="1" applyAlignment="1">
      <x:alignment horizontal="left" wrapText="1"/>
    </x:xf>
    <x:xf numFmtId="0" fontId="8" fillId="9" borderId="20" xfId="0" applyNumberFormat="1" applyFont="1" applyFill="1" applyBorder="1" applyAlignment="1">
      <x:alignment horizontal="left" wrapText="1"/>
    </x:xf>
    <x:xf numFmtId="0" fontId="8" fillId="9" borderId="21" xfId="0" applyNumberFormat="1" applyFont="1" applyFill="1" applyBorder="1" applyAlignment="1">
      <x:alignment horizontal="left" wrapText="1"/>
    </x:xf>
    <x:xf numFmtId="0" fontId="8" fillId="9" borderId="22" xfId="0" applyNumberFormat="1" applyFont="1" applyFill="1" applyBorder="1" applyAlignment="1">
      <x:alignment horizontal="left" wrapText="1"/>
    </x:xf>
    <x:xf numFmtId="0" fontId="8" fillId="9" borderId="15" xfId="0" applyNumberFormat="1" applyFont="1" applyFill="1" applyBorder="1" applyAlignment="1">
      <x:alignment horizontal="left" vertical="top" wrapText="1"/>
    </x:xf>
    <x:xf numFmtId="0" fontId="8" fillId="9" borderId="16" xfId="0" applyNumberFormat="1" applyFont="1" applyFill="1" applyBorder="1" applyAlignment="1">
      <x:alignment horizontal="left" vertical="top" wrapText="1"/>
    </x:xf>
    <x:xf numFmtId="0" fontId="8" fillId="9" borderId="17" xfId="0" applyNumberFormat="1" applyFont="1" applyFill="1" applyBorder="1" applyAlignment="1">
      <x:alignment horizontal="left" vertical="top" wrapText="1"/>
    </x:xf>
    <x:xf numFmtId="0" fontId="8" fillId="9" borderId="18" xfId="0" applyNumberFormat="1" applyFont="1" applyFill="1" applyBorder="1" applyAlignment="1">
      <x:alignment horizontal="left" vertical="top" wrapText="1"/>
    </x:xf>
    <x:xf numFmtId="0" fontId="8" fillId="9" borderId="0" xfId="0" applyNumberFormat="1" applyFont="1" applyFill="1" applyBorder="1" applyAlignment="1">
      <x:alignment horizontal="left" vertical="top" wrapText="1"/>
    </x:xf>
    <x:xf numFmtId="0" fontId="8" fillId="9" borderId="19" xfId="0" applyNumberFormat="1" applyFont="1" applyFill="1" applyBorder="1" applyAlignment="1">
      <x:alignment horizontal="left" vertical="top" wrapText="1"/>
    </x:xf>
    <x:xf numFmtId="0" fontId="8" fillId="9" borderId="20" xfId="0" applyNumberFormat="1" applyFont="1" applyFill="1" applyBorder="1" applyAlignment="1">
      <x:alignment horizontal="left" vertical="top" wrapText="1"/>
    </x:xf>
    <x:xf numFmtId="0" fontId="8" fillId="9" borderId="21" xfId="0" applyNumberFormat="1" applyFont="1" applyFill="1" applyBorder="1" applyAlignment="1">
      <x:alignment horizontal="left" vertical="top" wrapText="1"/>
    </x:xf>
    <x:xf numFmtId="0" fontId="8" fillId="9" borderId="22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14">
    <x:dxf>
      <x:font>
        <x:b/>
        <x:color rgb="FF237A21"/>
      </x:font>
      <x:fill>
        <x:patternFill patternType="solid">
          <x:bgColor rgb="FFD7F2D0"/>
        </x:patternFill>
      </x:fill>
    </x:dxf>
    <x:dxf>
      <x:font>
        <x:b/>
        <x:color rgb="FFC62828"/>
      </x:font>
      <x:fill>
        <x:patternFill patternType="solid">
          <x:bgColor rgb="FFFCE4E4"/>
        </x:patternFill>
      </x:fill>
    </x:dxf>
    <x:dxf>
      <x:font>
        <x:color rgb="FF59636E"/>
      </x:font>
      <x:fill>
        <x:patternFill patternType="solid">
          <x:bgColor rgb="FFE7EBE5"/>
        </x:patternFill>
      </x:fill>
    </x:dxf>
    <x:dxf>
      <x:font>
        <x:b/>
        <x:color rgb="FF237A21"/>
      </x:font>
      <x:fill>
        <x:patternFill patternType="solid">
          <x:bgColor rgb="FFD7F2D0"/>
        </x:patternFill>
      </x:fill>
    </x:dxf>
    <x:dxf>
      <x:font>
        <x:b/>
        <x:color rgb="FFC62828"/>
      </x:font>
      <x:fill>
        <x:patternFill patternType="solid">
          <x:bgColor rgb="FFFCE4E4"/>
        </x:patternFill>
      </x:fill>
    </x:dxf>
    <x:dxf>
      <x:font>
        <x:b/>
        <x:color rgb="FF237A21"/>
      </x:font>
      <x:fill>
        <x:patternFill patternType="solid">
          <x:bgColor rgb="FFD7F2D0"/>
        </x:patternFill>
      </x:fill>
    </x:dxf>
    <x:dxf>
      <x:font>
        <x:b/>
        <x:color rgb="FFC62828"/>
      </x:font>
      <x:fill>
        <x:patternFill patternType="solid">
          <x:bgColor rgb="FFFCE4E4"/>
        </x:patternFill>
      </x:fill>
    </x:dxf>
    <x:dxf>
      <x:font>
        <x:b/>
        <x:color rgb="FF237A21"/>
      </x:font>
      <x:fill>
        <x:patternFill patternType="solid">
          <x:bgColor rgb="FFD7F2D0"/>
        </x:patternFill>
      </x:fill>
    </x:dxf>
    <x:dxf>
      <x:font>
        <x:b/>
        <x:color rgb="FFC62828"/>
      </x:font>
      <x:fill>
        <x:patternFill patternType="solid">
          <x:bgColor rgb="FFFCE4E4"/>
        </x:patternFill>
      </x:fill>
    </x:dxf>
    <x:dxf>
      <x:font>
        <x:b/>
        <x:color rgb="FF8A6400"/>
      </x:font>
      <x:fill>
        <x:patternFill patternType="solid">
          <x:bgColor rgb="FFFFF4CC"/>
        </x:patternFill>
      </x:fill>
    </x:dxf>
    <x:dxf>
      <x:font>
        <x:b/>
        <x:color rgb="FF237A21"/>
      </x:font>
      <x:fill>
        <x:patternFill patternType="solid">
          <x:bgColor rgb="FFD7F2D0"/>
        </x:patternFill>
      </x:fill>
    </x:dxf>
    <x:dxf>
      <x:font>
        <x:b/>
        <x:color rgb="FFC62828"/>
      </x:font>
      <x:fill>
        <x:patternFill patternType="solid">
          <x:bgColor rgb="FFFCE4E4"/>
        </x:patternFill>
      </x:fill>
    </x:dxf>
    <x:dxf>
      <x:font>
        <x:b/>
        <x:color rgb="FF237A21"/>
      </x:font>
      <x:fill>
        <x:patternFill patternType="solid">
          <x:bgColor rgb="FFD7F2D0"/>
        </x:patternFill>
      </x:fill>
    </x:dxf>
    <x:dxf>
      <x:font>
        <x:b/>
        <x:color rgb="FFC62828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87e506a8442af" /><Relationship Type="http://schemas.openxmlformats.org/officeDocument/2006/relationships/theme" Target="/xl/theme/theme1.xml" Id="R7aecf74f39814101" /><Relationship Type="http://schemas.openxmlformats.org/officeDocument/2006/relationships/sharedStrings" Target="/xl/sharedStrings.xml" Id="R254934b039fc43c5" /><Relationship Type="http://schemas.openxmlformats.org/officeDocument/2006/relationships/worksheet" Target="/xl/worksheets/sheet1.xml" Id="Re0464547bd0a4649" /><Relationship Type="http://schemas.openxmlformats.org/officeDocument/2006/relationships/worksheet" Target="/xl/worksheets/sheet2.xml" Id="R5dacd9eda4ed486b" /><Relationship Type="http://schemas.microsoft.com/office/2017/10/relationships/person" Target="/xl/persons/person.xml" Id="R9eec6acdfbb4457a" /></Relationships>
</file>

<file path=xl/persons/person.xml><?xml version="1.0" encoding="utf-8"?>
<xltc:personList xmlns:xltc="http://schemas.microsoft.com/office/spreadsheetml/2018/threadedcomments">
  <xltc:person displayName="Gpt UFPA" id="{A198E6B3-B4A3-434F-94B3-0CBEE8689CF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O7" dT="2026-08-27T20:27:36.47" personId="{A198E6B3-B4A3-434F-94B3-0CBEE8689CF8}" id="{94C2F5BD-562B-F750-E400-3701C0B6D338}">
    <xltc:text>A frequência considera as marcações P e F dos módulos 1 a 6; N/A e células vazias são ignoradas.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L7" dT="2026-08-27T20:27:36.47" personId="{A198E6B3-B4A3-434F-94B3-0CBEE8689CF8}" id="{2C1B2636-71A3-A5D9-4C04-A7AEE34DC76C}">
    <xltc:text>A certificação é calculada automaticamente após os seis módulos e a entrega do trabalho final serem preenchidos.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903e924e0c14401" /><Relationship Type="http://schemas.openxmlformats.org/officeDocument/2006/relationships/vmlDrawing" Target="/xl/drawings/vmldrawing.vml" Id="R1d799aa8830e4dec" /><Relationship Type="http://schemas.microsoft.com/office/2017/10/relationships/threadedComment" Target="/xl/threadedcomments/threadedcomment.xml" Id="R19144646c1fb4d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006a5166e693493b" /><Relationship Type="http://schemas.openxmlformats.org/officeDocument/2006/relationships/vmlDrawing" Target="/xl/drawings/vmldrawing2.vml" Id="R7f5107826bcc44f8" /><Relationship Type="http://schemas.microsoft.com/office/2017/10/relationships/threadedComment" Target="/xl/threadedcomments/threadedcomment2.xml" Id="R6daf4211877646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8" hidden="0" customWidth="1"/>
    <x:col min="3" max="3" width="20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  <x:col min="24" max="24" width="4.5" hidden="0" customWidth="1"/>
    <x:col min="25" max="25" width="4.5" hidden="0" customWidth="1"/>
    <x:col min="26" max="26" width="4.5" hidden="0" customWidth="1"/>
    <x:col min="27" max="27" width="4.5" hidden="0" customWidth="1"/>
    <x:col min="28" max="28" width="4.5" hidden="0" customWidth="1"/>
    <x:col min="29" max="29" width="4.5" hidden="0" customWidth="1"/>
    <x:col min="30" max="30" width="4.5" hidden="0" customWidth="1"/>
    <x:col min="31" max="31" width="4.5" hidden="0" customWidth="1"/>
    <x:col min="32" max="32" width="4.5" hidden="0" customWidth="1"/>
    <x:col min="33" max="33" width="4.5" hidden="0" customWidth="1"/>
    <x:col min="34" max="34" width="4.5" hidden="0" customWidth="1"/>
    <x:col min="35" max="35" width="4.5" hidden="0" customWidth="1"/>
    <x:col min="36" max="36" width="4.5" hidden="0" customWidth="1"/>
    <x:col min="37" max="37" width="4.5" hidden="0" customWidth="1"/>
    <x:col min="38" max="38" width="4.5" hidden="0" customWidth="1"/>
    <x:col min="39" max="39" width="4.5" hidden="0" customWidth="1"/>
    <x:col min="40" max="40" width="14" hidden="0" customWidth="1"/>
    <x:col min="41" max="41" width="12" hidden="0" customWidth="1"/>
    <x:col min="42" max="42" width="18" hidden="0" customWidth="1"/>
  </x:cols>
  <x:sheetData>
    <x:row r="1" ht="34" customHeight="1">
      <x:c r="A1" s="12" t="str">
        <x:v>[DIGITE O TÍTULO DO CURSO] — PLANILHA DE ACOMPANHAMENTO DE CURSISTAS</x:v>
      </x:c>
      <x:c r="B1" s="13" t="str">
        <x:v>[DIGITE O TÍTULO DO CURSO] — PLANILHA DE ACOMPANHAMENTO DE CURSISTAS</x:v>
      </x:c>
      <x:c r="C1" s="13" t="str">
        <x:v>[DIGITE O TÍTULO DO CURSO] — PLANILHA DE ACOMPANHAMENTO DE CURSISTAS</x:v>
      </x:c>
      <x:c r="D1" s="13" t="str">
        <x:v>[DIGITE O TÍTULO DO CURSO] — PLANILHA DE ACOMPANHAMENTO DE CURSISTAS</x:v>
      </x:c>
      <x:c r="E1" s="13" t="str">
        <x:v>[DIGITE O TÍTULO DO CURSO] — PLANILHA DE ACOMPANHAMENTO DE CURSISTAS</x:v>
      </x:c>
      <x:c r="F1" s="13" t="str">
        <x:v>[DIGITE O TÍTULO DO CURSO] — PLANILHA DE ACOMPANHAMENTO DE CURSISTAS</x:v>
      </x:c>
      <x:c r="G1" s="13" t="str">
        <x:v>[DIGITE O TÍTULO DO CURSO] — PLANILHA DE ACOMPANHAMENTO DE CURSISTAS</x:v>
      </x:c>
      <x:c r="H1" s="13" t="str">
        <x:v>[DIGITE O TÍTULO DO CURSO] — PLANILHA DE ACOMPANHAMENTO DE CURSISTAS</x:v>
      </x:c>
      <x:c r="I1" s="13" t="str">
        <x:v>[DIGITE O TÍTULO DO CURSO] — PLANILHA DE ACOMPANHAMENTO DE CURSISTAS</x:v>
      </x:c>
      <x:c r="J1" s="13" t="str">
        <x:v>[DIGITE O TÍTULO DO CURSO] — PLANILHA DE ACOMPANHAMENTO DE CURSISTAS</x:v>
      </x:c>
      <x:c r="K1" s="13" t="str">
        <x:v>[DIGITE O TÍTULO DO CURSO] — PLANILHA DE ACOMPANHAMENTO DE CURSISTAS</x:v>
      </x:c>
      <x:c r="L1" s="13" t="str">
        <x:v>[DIGITE O TÍTULO DO CURSO] — PLANILHA DE ACOMPANHAMENTO DE CURSISTAS</x:v>
      </x:c>
      <x:c r="M1" s="13" t="str">
        <x:v>[DIGITE O TÍTULO DO CURSO] — PLANILHA DE ACOMPANHAMENTO DE CURSISTAS</x:v>
      </x:c>
      <x:c r="N1" s="13" t="str">
        <x:v>[DIGITE O TÍTULO DO CURSO] — PLANILHA DE ACOMPANHAMENTO DE CURSISTAS</x:v>
      </x:c>
      <x:c r="O1" s="13" t="str">
        <x:v>[DIGITE O TÍTULO DO CURSO] — PLANILHA DE ACOMPANHAMENTO DE CURSISTAS</x:v>
      </x:c>
      <x:c r="P1" s="13" t="str">
        <x:v>[DIGITE O TÍTULO DO CURSO] — PLANILHA DE ACOMPANHAMENTO DE CURSISTAS</x:v>
      </x:c>
      <x:c r="Q1" s="13" t="str">
        <x:v>[DIGITE O TÍTULO DO CURSO] — PLANILHA DE ACOMPANHAMENTO DE CURSISTAS</x:v>
      </x:c>
      <x:c r="R1" s="13" t="str">
        <x:v>[DIGITE O TÍTULO DO CURSO] — PLANILHA DE ACOMPANHAMENTO DE CURSISTAS</x:v>
      </x:c>
      <x:c r="S1" s="13" t="str">
        <x:v>[DIGITE O TÍTULO DO CURSO] — PLANILHA DE ACOMPANHAMENTO DE CURSISTAS</x:v>
      </x:c>
      <x:c r="T1" s="13" t="str">
        <x:v>[DIGITE O TÍTULO DO CURSO] — PLANILHA DE ACOMPANHAMENTO DE CURSISTAS</x:v>
      </x:c>
      <x:c r="U1" s="13" t="str">
        <x:v>[DIGITE O TÍTULO DO CURSO] — PLANILHA DE ACOMPANHAMENTO DE CURSISTAS</x:v>
      </x:c>
      <x:c r="V1" s="13" t="str">
        <x:v>[DIGITE O TÍTULO DO CURSO] — PLANILHA DE ACOMPANHAMENTO DE CURSISTAS</x:v>
      </x:c>
      <x:c r="W1" s="13" t="str">
        <x:v>[DIGITE O TÍTULO DO CURSO] — PLANILHA DE ACOMPANHAMENTO DE CURSISTAS</x:v>
      </x:c>
      <x:c r="X1" s="13" t="str">
        <x:v>[DIGITE O TÍTULO DO CURSO] — PLANILHA DE ACOMPANHAMENTO DE CURSISTAS</x:v>
      </x:c>
      <x:c r="Y1" s="13" t="str">
        <x:v>[DIGITE O TÍTULO DO CURSO] — PLANILHA DE ACOMPANHAMENTO DE CURSISTAS</x:v>
      </x:c>
      <x:c r="Z1" s="13" t="str">
        <x:v>[DIGITE O TÍTULO DO CURSO] — PLANILHA DE ACOMPANHAMENTO DE CURSISTAS</x:v>
      </x:c>
      <x:c r="AA1" s="13" t="str">
        <x:v>[DIGITE O TÍTULO DO CURSO] — PLANILHA DE ACOMPANHAMENTO DE CURSISTAS</x:v>
      </x:c>
      <x:c r="AB1" s="13" t="str">
        <x:v>[DIGITE O TÍTULO DO CURSO] — PLANILHA DE ACOMPANHAMENTO DE CURSISTAS</x:v>
      </x:c>
      <x:c r="AC1" s="13" t="str">
        <x:v>[DIGITE O TÍTULO DO CURSO] — PLANILHA DE ACOMPANHAMENTO DE CURSISTAS</x:v>
      </x:c>
      <x:c r="AD1" s="13" t="str">
        <x:v>[DIGITE O TÍTULO DO CURSO] — PLANILHA DE ACOMPANHAMENTO DE CURSISTAS</x:v>
      </x:c>
      <x:c r="AE1" s="13" t="str">
        <x:v>[DIGITE O TÍTULO DO CURSO] — PLANILHA DE ACOMPANHAMENTO DE CURSISTAS</x:v>
      </x:c>
      <x:c r="AF1" s="13" t="str">
        <x:v>[DIGITE O TÍTULO DO CURSO] — PLANILHA DE ACOMPANHAMENTO DE CURSISTAS</x:v>
      </x:c>
      <x:c r="AG1" s="13" t="str">
        <x:v>[DIGITE O TÍTULO DO CURSO] — PLANILHA DE ACOMPANHAMENTO DE CURSISTAS</x:v>
      </x:c>
      <x:c r="AH1" s="13" t="str">
        <x:v>[DIGITE O TÍTULO DO CURSO] — PLANILHA DE ACOMPANHAMENTO DE CURSISTAS</x:v>
      </x:c>
      <x:c r="AI1" s="13" t="str">
        <x:v>[DIGITE O TÍTULO DO CURSO] — PLANILHA DE ACOMPANHAMENTO DE CURSISTAS</x:v>
      </x:c>
      <x:c r="AJ1" s="13" t="str">
        <x:v>[DIGITE O TÍTULO DO CURSO] — PLANILHA DE ACOMPANHAMENTO DE CURSISTAS</x:v>
      </x:c>
      <x:c r="AK1" s="13" t="str">
        <x:v>[DIGITE O TÍTULO DO CURSO] — PLANILHA DE ACOMPANHAMENTO DE CURSISTAS</x:v>
      </x:c>
      <x:c r="AL1" s="13" t="str">
        <x:v>[DIGITE O TÍTULO DO CURSO] — PLANILHA DE ACOMPANHAMENTO DE CURSISTAS</x:v>
      </x:c>
      <x:c r="AM1" s="13" t="str">
        <x:v>[DIGITE O TÍTULO DO CURSO] — PLANILHA DE ACOMPANHAMENTO DE CURSISTAS</x:v>
      </x:c>
      <x:c r="AN1" s="13" t="str">
        <x:v>[DIGITE O TÍTULO DO CURSO] — PLANILHA DE ACOMPANHAMENTO DE CURSISTAS</x:v>
      </x:c>
      <x:c r="AO1" s="13" t="str">
        <x:v>[DIGITE O TÍTULO DO CURSO] — PLANILHA DE ACOMPANHAMENTO DE CURSISTAS</x:v>
      </x:c>
      <x:c r="AP1" s="14" t="str">
        <x:v>[DIGITE O TÍTULO DO CURSO] — PLANILHA DE ACOMPANHAMENTO DE CURSISTAS</x:v>
      </x:c>
    </x:row>
    <x:row r="2">
      <x:c r="A2" s="19" t="str">
        <x:v>CURSO</x:v>
      </x:c>
      <x:c r="B2" s="19" t="str">
        <x:v>CURSO</x:v>
      </x:c>
      <x:c r="C2" s="24" t="str">
        <x:v>Preencher</x:v>
      </x:c>
      <x:c r="D2" s="24" t="str">
        <x:v>Preencher</x:v>
      </x:c>
      <x:c r="E2" s="24" t="str">
        <x:v>Preencher</x:v>
      </x:c>
      <x:c r="F2" s="24" t="str">
        <x:v>Preencher</x:v>
      </x:c>
      <x:c r="G2" s="24" t="str">
        <x:v>Preencher</x:v>
      </x:c>
      <x:c r="H2" s="24" t="str">
        <x:v>Preencher</x:v>
      </x:c>
      <x:c r="I2" s="24" t="str">
        <x:v>Preencher</x:v>
      </x:c>
      <x:c r="J2" s="24" t="str">
        <x:v>Preencher</x:v>
      </x:c>
      <x:c r="K2" s="24" t="str">
        <x:v>Preencher</x:v>
      </x:c>
      <x:c r="L2" s="24" t="str">
        <x:v>Preencher</x:v>
      </x:c>
      <x:c r="M2" s="24" t="str">
        <x:v>Preencher</x:v>
      </x:c>
      <x:c r="N2" s="19" t="str">
        <x:v>FORMADOR(A)</x:v>
      </x:c>
      <x:c r="O2" s="19" t="str">
        <x:v>FORMADOR(A)</x:v>
      </x:c>
      <x:c r="P2" s="19" t="str">
        <x:v>FORMADOR(A)</x:v>
      </x:c>
      <x:c r="Q2" s="24" t="str">
        <x:v>Preencher</x:v>
      </x:c>
      <x:c r="R2" s="24" t="str">
        <x:v>Preencher</x:v>
      </x:c>
      <x:c r="S2" s="24" t="str">
        <x:v>Preencher</x:v>
      </x:c>
      <x:c r="T2" s="24" t="str">
        <x:v>Preencher</x:v>
      </x:c>
      <x:c r="U2" s="24" t="str">
        <x:v>Preencher</x:v>
      </x:c>
      <x:c r="V2" s="24" t="str">
        <x:v>Preencher</x:v>
      </x:c>
      <x:c r="W2" s="24" t="str">
        <x:v>Preencher</x:v>
      </x:c>
      <x:c r="X2" s="24" t="str">
        <x:v>Preencher</x:v>
      </x:c>
      <x:c r="Y2" s="24" t="str">
        <x:v>Preencher</x:v>
      </x:c>
      <x:c r="Z2" s="24" t="str">
        <x:v>Preencher</x:v>
      </x:c>
      <x:c r="AA2" s="24" t="str">
        <x:v>Preencher</x:v>
      </x:c>
      <x:c r="AB2" s="24" t="str">
        <x:v>Preencher</x:v>
      </x:c>
      <x:c r="AC2" s="24" t="str">
        <x:v>Preencher</x:v>
      </x:c>
      <x:c r="AD2" s="24" t="str">
        <x:v>Preencher</x:v>
      </x:c>
      <x:c r="AE2" s="24" t="str">
        <x:v>Preencher</x:v>
      </x:c>
      <x:c r="AF2" s="24" t="str">
        <x:v>Preencher</x:v>
      </x:c>
      <x:c r="AG2" s="24" t="str">
        <x:v>Preencher</x:v>
      </x:c>
      <x:c r="AH2" s="24" t="str">
        <x:v>Preencher</x:v>
      </x:c>
      <x:c r="AI2" s="24" t="str">
        <x:v>Preencher</x:v>
      </x:c>
      <x:c r="AJ2" s="24" t="str">
        <x:v>Preencher</x:v>
      </x:c>
      <x:c r="AK2" s="24" t="str">
        <x:v>Preencher</x:v>
      </x:c>
      <x:c r="AL2" s="24" t="str">
        <x:v>Preencher</x:v>
      </x:c>
      <x:c r="AM2" s="24" t="str">
        <x:v>Preencher</x:v>
      </x:c>
      <x:c r="AN2" s="24" t="str">
        <x:v>Preencher</x:v>
      </x:c>
      <x:c r="AO2" s="24" t="str">
        <x:v>Preencher</x:v>
      </x:c>
      <x:c r="AP2" s="24" t="str">
        <x:v>Preencher</x:v>
      </x:c>
    </x:row>
    <x:row r="3">
      <x:c r="A3" s="19" t="str">
        <x:v>TURMA</x:v>
      </x:c>
      <x:c r="B3" s="19" t="str">
        <x:v>TURMA</x:v>
      </x:c>
      <x:c r="C3" s="24" t="str">
        <x:v>Preencher</x:v>
      </x:c>
      <x:c r="D3" s="24" t="str">
        <x:v>Preencher</x:v>
      </x:c>
      <x:c r="E3" s="24" t="str">
        <x:v>Preencher</x:v>
      </x:c>
      <x:c r="F3" s="24" t="str">
        <x:v>Preencher</x:v>
      </x:c>
      <x:c r="G3" s="19" t="str">
        <x:v>ESTADO</x:v>
      </x:c>
      <x:c r="H3" s="19" t="str">
        <x:v>ESTADO</x:v>
      </x:c>
      <x:c r="I3" s="24" t="str">
        <x:v>Preencher</x:v>
      </x:c>
      <x:c r="J3" s="24" t="str">
        <x:v>Preencher</x:v>
      </x:c>
      <x:c r="K3" s="24" t="str">
        <x:v>Preencher</x:v>
      </x:c>
      <x:c r="L3" s="24" t="str">
        <x:v>Preencher</x:v>
      </x:c>
      <x:c r="M3" s="24" t="str">
        <x:v>Preencher</x:v>
      </x:c>
      <x:c r="N3" s="19" t="str">
        <x:v>PERÍODO</x:v>
      </x:c>
      <x:c r="O3" s="19" t="str">
        <x:v>PERÍODO</x:v>
      </x:c>
      <x:c r="P3" s="19" t="str">
        <x:v>PERÍODO</x:v>
      </x:c>
      <x:c r="Q3" s="24" t="str">
        <x:v>Preencher</x:v>
      </x:c>
      <x:c r="R3" s="24" t="str">
        <x:v>Preencher</x:v>
      </x:c>
      <x:c r="S3" s="24" t="str">
        <x:v>Preencher</x:v>
      </x:c>
      <x:c r="T3" s="24" t="str">
        <x:v>Preencher</x:v>
      </x:c>
      <x:c r="U3" s="24" t="str">
        <x:v>Preencher</x:v>
      </x:c>
      <x:c r="V3" s="24" t="str">
        <x:v>Preencher</x:v>
      </x:c>
      <x:c r="W3" s="24" t="str">
        <x:v>Preencher</x:v>
      </x:c>
      <x:c r="X3" s="24" t="str">
        <x:v>Preencher</x:v>
      </x:c>
      <x:c r="Y3" s="24" t="str">
        <x:v>Preencher</x:v>
      </x:c>
      <x:c r="Z3" s="24" t="str">
        <x:v>Preencher</x:v>
      </x:c>
      <x:c r="AA3" s="24" t="str">
        <x:v>Preencher</x:v>
      </x:c>
      <x:c r="AB3" s="24" t="str">
        <x:v>Preencher</x:v>
      </x:c>
      <x:c r="AC3" s="24" t="str">
        <x:v>Preencher</x:v>
      </x:c>
      <x:c r="AD3" s="24" t="str">
        <x:v>Preencher</x:v>
      </x:c>
      <x:c r="AE3" s="24" t="str">
        <x:v>Preencher</x:v>
      </x:c>
      <x:c r="AF3" s="24" t="str">
        <x:v>Preencher</x:v>
      </x:c>
      <x:c r="AG3" s="24" t="str">
        <x:v>Preencher</x:v>
      </x:c>
      <x:c r="AH3" s="24" t="str">
        <x:v>Preencher</x:v>
      </x:c>
      <x:c r="AI3" s="24" t="str">
        <x:v>Preencher</x:v>
      </x:c>
      <x:c r="AJ3" s="24" t="str">
        <x:v>Preencher</x:v>
      </x:c>
      <x:c r="AK3" s="24" t="str">
        <x:v>Preencher</x:v>
      </x:c>
      <x:c r="AL3" s="24" t="str">
        <x:v>Preencher</x:v>
      </x:c>
      <x:c r="AM3" s="24" t="str">
        <x:v>Preencher</x:v>
      </x:c>
      <x:c r="AN3" s="24" t="str">
        <x:v>Preencher</x:v>
      </x:c>
      <x:c r="AO3" s="24" t="str">
        <x:v>Preencher</x:v>
      </x:c>
      <x:c r="AP3" s="24" t="str">
        <x:v>Preencher</x:v>
      </x:c>
    </x:row>
    <x:row r="4" ht="9" customHeight="1"/>
    <x:row r="5">
      <x:c r="A5" s="33" t="str">
        <x:v>CRITÉRIOS DE ACOMPANHAMENTO</x:v>
      </x:c>
      <x:c r="B5" s="34" t="str">
        <x:v>CRITÉRIOS DE ACOMPANHAMENTO</x:v>
      </x:c>
      <x:c r="C5" s="34" t="str">
        <x:v>CRITÉRIOS DE ACOMPANHAMENTO</x:v>
      </x:c>
      <x:c r="D5" s="34" t="str">
        <x:v>CRITÉRIOS DE ACOMPANHAMENTO</x:v>
      </x:c>
      <x:c r="E5" s="34" t="str">
        <x:v>CRITÉRIOS DE ACOMPANHAMENTO</x:v>
      </x:c>
      <x:c r="F5" s="34" t="str">
        <x:v>CRITÉRIOS DE ACOMPANHAMENTO</x:v>
      </x:c>
      <x:c r="G5" s="34" t="str">
        <x:v>CRITÉRIOS DE ACOMPANHAMENTO</x:v>
      </x:c>
      <x:c r="H5" s="34" t="str">
        <x:v>CRITÉRIOS DE ACOMPANHAMENTO</x:v>
      </x:c>
      <x:c r="I5" s="34" t="str">
        <x:v>CRITÉRIOS DE ACOMPANHAMENTO</x:v>
      </x:c>
      <x:c r="J5" s="34" t="str">
        <x:v>CRITÉRIOS DE ACOMPANHAMENTO</x:v>
      </x:c>
      <x:c r="K5" s="34" t="str">
        <x:v>CRITÉRIOS DE ACOMPANHAMENTO</x:v>
      </x:c>
      <x:c r="L5" s="34" t="str">
        <x:v>CRITÉRIOS DE ACOMPANHAMENTO</x:v>
      </x:c>
      <x:c r="M5" s="34" t="str">
        <x:v>CRITÉRIOS DE ACOMPANHAMENTO</x:v>
      </x:c>
      <x:c r="N5" s="34" t="str">
        <x:v>CRITÉRIOS DE ACOMPANHAMENTO</x:v>
      </x:c>
      <x:c r="O5" s="34" t="str">
        <x:v>CRITÉRIOS DE ACOMPANHAMENTO</x:v>
      </x:c>
      <x:c r="P5" s="34" t="str">
        <x:v>CRITÉRIOS DE ACOMPANHAMENTO</x:v>
      </x:c>
      <x:c r="Q5" s="34" t="str">
        <x:v>CRITÉRIOS DE ACOMPANHAMENTO</x:v>
      </x:c>
      <x:c r="R5" s="34" t="str">
        <x:v>CRITÉRIOS DE ACOMPANHAMENTO</x:v>
      </x:c>
      <x:c r="S5" s="34" t="str">
        <x:v>CRITÉRIOS DE ACOMPANHAMENTO</x:v>
      </x:c>
      <x:c r="T5" s="34" t="str">
        <x:v>CRITÉRIOS DE ACOMPANHAMENTO</x:v>
      </x:c>
      <x:c r="U5" s="34" t="str">
        <x:v>CRITÉRIOS DE ACOMPANHAMENTO</x:v>
      </x:c>
      <x:c r="V5" s="34" t="str">
        <x:v>CRITÉRIOS DE ACOMPANHAMENTO</x:v>
      </x:c>
      <x:c r="W5" s="34" t="str">
        <x:v>CRITÉRIOS DE ACOMPANHAMENTO</x:v>
      </x:c>
      <x:c r="X5" s="34" t="str">
        <x:v>CRITÉRIOS DE ACOMPANHAMENTO</x:v>
      </x:c>
      <x:c r="Y5" s="34" t="str">
        <x:v>CRITÉRIOS DE ACOMPANHAMENTO</x:v>
      </x:c>
      <x:c r="Z5" s="34" t="str">
        <x:v>CRITÉRIOS DE ACOMPANHAMENTO</x:v>
      </x:c>
      <x:c r="AA5" s="34" t="str">
        <x:v>CRITÉRIOS DE ACOMPANHAMENTO</x:v>
      </x:c>
      <x:c r="AB5" s="34" t="str">
        <x:v>CRITÉRIOS DE ACOMPANHAMENTO</x:v>
      </x:c>
      <x:c r="AC5" s="34" t="str">
        <x:v>CRITÉRIOS DE ACOMPANHAMENTO</x:v>
      </x:c>
      <x:c r="AD5" s="34" t="str">
        <x:v>CRITÉRIOS DE ACOMPANHAMENTO</x:v>
      </x:c>
      <x:c r="AE5" s="34" t="str">
        <x:v>CRITÉRIOS DE ACOMPANHAMENTO</x:v>
      </x:c>
      <x:c r="AF5" s="34" t="str">
        <x:v>CRITÉRIOS DE ACOMPANHAMENTO</x:v>
      </x:c>
      <x:c r="AG5" s="34" t="str">
        <x:v>CRITÉRIOS DE ACOMPANHAMENTO</x:v>
      </x:c>
      <x:c r="AH5" s="34" t="str">
        <x:v>CRITÉRIOS DE ACOMPANHAMENTO</x:v>
      </x:c>
      <x:c r="AI5" s="34" t="str">
        <x:v>CRITÉRIOS DE ACOMPANHAMENTO</x:v>
      </x:c>
      <x:c r="AJ5" s="34" t="str">
        <x:v>CRITÉRIOS DE ACOMPANHAMENTO</x:v>
      </x:c>
      <x:c r="AK5" s="34" t="str">
        <x:v>CRITÉRIOS DE ACOMPANHAMENTO</x:v>
      </x:c>
      <x:c r="AL5" s="34" t="str">
        <x:v>CRITÉRIOS DE ACOMPANHAMENTO</x:v>
      </x:c>
      <x:c r="AM5" s="34" t="str">
        <x:v>CRITÉRIOS DE ACOMPANHAMENTO</x:v>
      </x:c>
      <x:c r="AN5" s="34" t="str">
        <x:v>CRITÉRIOS DE ACOMPANHAMENTO</x:v>
      </x:c>
      <x:c r="AO5" s="34" t="str">
        <x:v>CRITÉRIOS DE ACOMPANHAMENTO</x:v>
      </x:c>
      <x:c r="AP5" s="35" t="str">
        <x:v>CRITÉRIOS DE ACOMPANHAMENTO</x:v>
      </x:c>
    </x:row>
    <x:row r="6" ht="38" customHeight="1">
      <x:c r="A6" s="43" t="str">
        <x:v>Nº</x:v>
      </x:c>
      <x:c r="B6" s="43" t="str">
        <x:v>CURSISTA</x:v>
      </x:c>
      <x:c r="C6" s="43" t="str">
        <x:v>MUNICÍPIO</x:v>
      </x:c>
      <x:c r="D6" s="41" t="str">
        <x:v>MÓDULO 1</x:v>
      </x:c>
      <x:c r="E6" s="41" t="str">
        <x:v>MÓDULO 1</x:v>
      </x:c>
      <x:c r="F6" s="41" t="str">
        <x:v>MÓDULO 1</x:v>
      </x:c>
      <x:c r="G6" s="41" t="str">
        <x:v>MÓDULO 1</x:v>
      </x:c>
      <x:c r="H6" s="41" t="str">
        <x:v>MÓDULO 1</x:v>
      </x:c>
      <x:c r="I6" s="41" t="str">
        <x:v>MÓDULO 1</x:v>
      </x:c>
      <x:c r="J6" s="41" t="str">
        <x:v>MÓDULO 2</x:v>
      </x:c>
      <x:c r="K6" s="41" t="str">
        <x:v>MÓDULO 2</x:v>
      </x:c>
      <x:c r="L6" s="41" t="str">
        <x:v>MÓDULO 2</x:v>
      </x:c>
      <x:c r="M6" s="41" t="str">
        <x:v>MÓDULO 2</x:v>
      </x:c>
      <x:c r="N6" s="41" t="str">
        <x:v>MÓDULO 2</x:v>
      </x:c>
      <x:c r="O6" s="41" t="str">
        <x:v>MÓDULO 2</x:v>
      </x:c>
      <x:c r="P6" s="41" t="str">
        <x:v>MÓDULO 3</x:v>
      </x:c>
      <x:c r="Q6" s="41" t="str">
        <x:v>MÓDULO 3</x:v>
      </x:c>
      <x:c r="R6" s="41" t="str">
        <x:v>MÓDULO 3</x:v>
      </x:c>
      <x:c r="S6" s="41" t="str">
        <x:v>MÓDULO 3</x:v>
      </x:c>
      <x:c r="T6" s="41" t="str">
        <x:v>MÓDULO 3</x:v>
      </x:c>
      <x:c r="U6" s="41" t="str">
        <x:v>MÓDULO 3</x:v>
      </x:c>
      <x:c r="V6" s="41" t="str">
        <x:v>MÓDULO 4</x:v>
      </x:c>
      <x:c r="W6" s="41" t="str">
        <x:v>MÓDULO 4</x:v>
      </x:c>
      <x:c r="X6" s="41" t="str">
        <x:v>MÓDULO 4</x:v>
      </x:c>
      <x:c r="Y6" s="41" t="str">
        <x:v>MÓDULO 4</x:v>
      </x:c>
      <x:c r="Z6" s="41" t="str">
        <x:v>MÓDULO 4</x:v>
      </x:c>
      <x:c r="AA6" s="41" t="str">
        <x:v>MÓDULO 4</x:v>
      </x:c>
      <x:c r="AB6" s="41" t="str">
        <x:v>MÓDULO 5</x:v>
      </x:c>
      <x:c r="AC6" s="41" t="str">
        <x:v>MÓDULO 5</x:v>
      </x:c>
      <x:c r="AD6" s="41" t="str">
        <x:v>MÓDULO 5</x:v>
      </x:c>
      <x:c r="AE6" s="41" t="str">
        <x:v>MÓDULO 5</x:v>
      </x:c>
      <x:c r="AF6" s="41" t="str">
        <x:v>MÓDULO 5</x:v>
      </x:c>
      <x:c r="AG6" s="41" t="str">
        <x:v>MÓDULO 5</x:v>
      </x:c>
      <x:c r="AH6" s="41" t="str">
        <x:v>MÓDULO 6</x:v>
      </x:c>
      <x:c r="AI6" s="41" t="str">
        <x:v>MÓDULO 6</x:v>
      </x:c>
      <x:c r="AJ6" s="41" t="str">
        <x:v>MÓDULO 6</x:v>
      </x:c>
      <x:c r="AK6" s="41" t="str">
        <x:v>MÓDULO 6</x:v>
      </x:c>
      <x:c r="AL6" s="41" t="str">
        <x:v>MÓDULO 6</x:v>
      </x:c>
      <x:c r="AM6" s="41" t="str">
        <x:v>MÓDULO 6</x:v>
      </x:c>
      <x:c r="AN6" s="41" t="str">
        <x:v>TRABALHO FINAL</x:v>
      </x:c>
      <x:c r="AO6" s="41" t="str">
        <x:v>FREQUÊNCIA</x:v>
      </x:c>
      <x:c r="AP6" s="41" t="str">
        <x:v>SITUAÇÃO</x:v>
      </x:c>
    </x:row>
    <x:row r="7" ht="24" customHeight="1">
      <x:c r="A7" s="43"/>
      <x:c r="B7" s="43"/>
      <x:c r="C7" s="43"/>
      <x:c r="D7" s="41" t="n">
        <x:v>1</x:v>
      </x:c>
      <x:c r="E7" s="41" t="n">
        <x:v>2</x:v>
      </x:c>
      <x:c r="F7" s="41" t="n">
        <x:v>3</x:v>
      </x:c>
      <x:c r="G7" s="41" t="n">
        <x:v>4</x:v>
      </x:c>
      <x:c r="H7" s="41" t="n">
        <x:v>5</x:v>
      </x:c>
      <x:c r="I7" s="41" t="n">
        <x:v>6</x:v>
      </x:c>
      <x:c r="J7" s="41" t="n">
        <x:v>1</x:v>
      </x:c>
      <x:c r="K7" s="41" t="n">
        <x:v>2</x:v>
      </x:c>
      <x:c r="L7" s="41" t="n">
        <x:v>3</x:v>
      </x:c>
      <x:c r="M7" s="41" t="n">
        <x:v>4</x:v>
      </x:c>
      <x:c r="N7" s="41" t="n">
        <x:v>5</x:v>
      </x:c>
      <x:c r="O7" s="41" t="n">
        <x:v>6</x:v>
      </x:c>
      <x:c r="P7" s="41" t="n">
        <x:v>1</x:v>
      </x:c>
      <x:c r="Q7" s="41" t="n">
        <x:v>2</x:v>
      </x:c>
      <x:c r="R7" s="41" t="n">
        <x:v>3</x:v>
      </x:c>
      <x:c r="S7" s="41" t="n">
        <x:v>4</x:v>
      </x:c>
      <x:c r="T7" s="41" t="n">
        <x:v>5</x:v>
      </x:c>
      <x:c r="U7" s="41" t="n">
        <x:v>6</x:v>
      </x:c>
      <x:c r="V7" s="41" t="n">
        <x:v>1</x:v>
      </x:c>
      <x:c r="W7" s="41" t="n">
        <x:v>2</x:v>
      </x:c>
      <x:c r="X7" s="41" t="n">
        <x:v>3</x:v>
      </x:c>
      <x:c r="Y7" s="41" t="n">
        <x:v>4</x:v>
      </x:c>
      <x:c r="Z7" s="41" t="n">
        <x:v>5</x:v>
      </x:c>
      <x:c r="AA7" s="41" t="n">
        <x:v>6</x:v>
      </x:c>
      <x:c r="AB7" s="41" t="n">
        <x:v>1</x:v>
      </x:c>
      <x:c r="AC7" s="41" t="n">
        <x:v>2</x:v>
      </x:c>
      <x:c r="AD7" s="41" t="n">
        <x:v>3</x:v>
      </x:c>
      <x:c r="AE7" s="41" t="n">
        <x:v>4</x:v>
      </x:c>
      <x:c r="AF7" s="41" t="n">
        <x:v>5</x:v>
      </x:c>
      <x:c r="AG7" s="41" t="n">
        <x:v>6</x:v>
      </x:c>
      <x:c r="AH7" s="41" t="n">
        <x:v>1</x:v>
      </x:c>
      <x:c r="AI7" s="41" t="n">
        <x:v>2</x:v>
      </x:c>
      <x:c r="AJ7" s="41" t="n">
        <x:v>3</x:v>
      </x:c>
      <x:c r="AK7" s="41" t="n">
        <x:v>4</x:v>
      </x:c>
      <x:c r="AL7" s="41" t="n">
        <x:v>5</x:v>
      </x:c>
      <x:c r="AM7" s="41" t="n">
        <x:v>6</x:v>
      </x:c>
      <x:c r="AN7" s="41" t="str">
        <x:v>TRABALHO FINAL</x:v>
      </x:c>
      <x:c r="AO7" s="41" t="str">
        <x:v>FREQUÊNCIA</x:v>
      </x:c>
      <x:c r="AP7" s="41" t="str">
        <x:v>SITUAÇÃO</x:v>
      </x:c>
    </x:row>
    <x:row r="8" ht="23" customHeight="1">
      <x:c r="A8" s="55" t="n">
        <x:v>1</x:v>
      </x:c>
      <x:c r="B8" s="56"/>
      <x:c r="C8" s="56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7"/>
      <x:c r="AE8" s="57"/>
      <x:c r="AF8" s="57"/>
      <x:c r="AG8" s="57"/>
      <x:c r="AH8" s="57"/>
      <x:c r="AI8" s="57"/>
      <x:c r="AJ8" s="57"/>
      <x:c r="AK8" s="57"/>
      <x:c r="AL8" s="57"/>
      <x:c r="AM8" s="57"/>
      <x:c r="AN8" s="57"/>
      <x:c r="AO8" s="70" t="str">
        <x:f>IF((COUNTIF(D8:AM8,"P")+COUNTIF(D8:AM8,"F"))=0,"",COUNTIF(D8:AM8,"P")/(COUNTIF(D8:AM8,"P")+COUNTIF(D8:AM8,"F")))</x:f>
      </x:c>
      <x:c r="AP8" s="58" t="str">
        <x:f>IF(AO8="","",IF(AO8&gt;=0.75,"APTO","ABAIXO DE 75%"))</x:f>
      </x:c>
    </x:row>
    <x:row r="9" ht="23" customHeight="1">
      <x:c r="A9" s="55" t="n">
        <x:v>2</x:v>
      </x:c>
      <x:c r="B9" s="67"/>
      <x:c r="C9" s="67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  <x:c r="AA9" s="68"/>
      <x:c r="AB9" s="68"/>
      <x:c r="AC9" s="68"/>
      <x:c r="AD9" s="68"/>
      <x:c r="AE9" s="68"/>
      <x:c r="AF9" s="68"/>
      <x:c r="AG9" s="68"/>
      <x:c r="AH9" s="68"/>
      <x:c r="AI9" s="68"/>
      <x:c r="AJ9" s="68"/>
      <x:c r="AK9" s="68"/>
      <x:c r="AL9" s="68"/>
      <x:c r="AM9" s="68"/>
      <x:c r="AN9" s="68"/>
      <x:c r="AO9" s="71" t="str">
        <x:f>IF((COUNTIF(D9:AM9,"P")+COUNTIF(D9:AM9,"F"))=0,"",COUNTIF(D9:AM9,"P")/(COUNTIF(D9:AM9,"P")+COUNTIF(D9:AM9,"F")))</x:f>
      </x:c>
      <x:c r="AP9" s="69" t="str">
        <x:f>IF(AO9="","",IF(AO9&gt;=0.75,"APTO","ABAIXO DE 75%"))</x:f>
      </x:c>
    </x:row>
    <x:row r="10" ht="23" customHeight="1">
      <x:c r="A10" s="55" t="n">
        <x:v>3</x:v>
      </x:c>
      <x:c r="B10" s="56"/>
      <x:c r="C10" s="56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  <x:c r="AA10" s="57"/>
      <x:c r="AB10" s="57"/>
      <x:c r="AC10" s="57"/>
      <x:c r="AD10" s="57"/>
      <x:c r="AE10" s="57"/>
      <x:c r="AF10" s="57"/>
      <x:c r="AG10" s="57"/>
      <x:c r="AH10" s="57"/>
      <x:c r="AI10" s="57"/>
      <x:c r="AJ10" s="57"/>
      <x:c r="AK10" s="57"/>
      <x:c r="AL10" s="57"/>
      <x:c r="AM10" s="57"/>
      <x:c r="AN10" s="57"/>
      <x:c r="AO10" s="70" t="str">
        <x:f>IF((COUNTIF(D10:AM10,"P")+COUNTIF(D10:AM10,"F"))=0,"",COUNTIF(D10:AM10,"P")/(COUNTIF(D10:AM10,"P")+COUNTIF(D10:AM10,"F")))</x:f>
      </x:c>
      <x:c r="AP10" s="58" t="str">
        <x:f>IF(AO10="","",IF(AO10&gt;=0.75,"APTO","ABAIXO DE 75%"))</x:f>
      </x:c>
    </x:row>
    <x:row r="11" ht="23" customHeight="1">
      <x:c r="A11" s="55" t="n">
        <x:v>4</x:v>
      </x:c>
      <x:c r="B11" s="67"/>
      <x:c r="C11" s="67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  <x:c r="AA11" s="68"/>
      <x:c r="AB11" s="68"/>
      <x:c r="AC11" s="68"/>
      <x:c r="AD11" s="68"/>
      <x:c r="AE11" s="68"/>
      <x:c r="AF11" s="68"/>
      <x:c r="AG11" s="68"/>
      <x:c r="AH11" s="68"/>
      <x:c r="AI11" s="68"/>
      <x:c r="AJ11" s="68"/>
      <x:c r="AK11" s="68"/>
      <x:c r="AL11" s="68"/>
      <x:c r="AM11" s="68"/>
      <x:c r="AN11" s="68"/>
      <x:c r="AO11" s="71" t="str">
        <x:f>IF((COUNTIF(D11:AM11,"P")+COUNTIF(D11:AM11,"F"))=0,"",COUNTIF(D11:AM11,"P")/(COUNTIF(D11:AM11,"P")+COUNTIF(D11:AM11,"F")))</x:f>
      </x:c>
      <x:c r="AP11" s="69" t="str">
        <x:f>IF(AO11="","",IF(AO11&gt;=0.75,"APTO","ABAIXO DE 75%"))</x:f>
      </x:c>
    </x:row>
    <x:row r="12" ht="23" customHeight="1">
      <x:c r="A12" s="55" t="n">
        <x:v>5</x:v>
      </x:c>
      <x:c r="B12" s="56"/>
      <x:c r="C12" s="56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  <x:c r="AA12" s="57"/>
      <x:c r="AB12" s="57"/>
      <x:c r="AC12" s="57"/>
      <x:c r="AD12" s="57"/>
      <x:c r="AE12" s="57"/>
      <x:c r="AF12" s="57"/>
      <x:c r="AG12" s="57"/>
      <x:c r="AH12" s="57"/>
      <x:c r="AI12" s="57"/>
      <x:c r="AJ12" s="57"/>
      <x:c r="AK12" s="57"/>
      <x:c r="AL12" s="57"/>
      <x:c r="AM12" s="57"/>
      <x:c r="AN12" s="57"/>
      <x:c r="AO12" s="70" t="str">
        <x:f>IF((COUNTIF(D12:AM12,"P")+COUNTIF(D12:AM12,"F"))=0,"",COUNTIF(D12:AM12,"P")/(COUNTIF(D12:AM12,"P")+COUNTIF(D12:AM12,"F")))</x:f>
      </x:c>
      <x:c r="AP12" s="58" t="str">
        <x:f>IF(AO12="","",IF(AO12&gt;=0.75,"APTO","ABAIXO DE 75%"))</x:f>
      </x:c>
    </x:row>
    <x:row r="13" ht="23" customHeight="1">
      <x:c r="A13" s="55" t="n">
        <x:v>6</x:v>
      </x:c>
      <x:c r="B13" s="67"/>
      <x:c r="C13" s="67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  <x:c r="AA13" s="68"/>
      <x:c r="AB13" s="68"/>
      <x:c r="AC13" s="68"/>
      <x:c r="AD13" s="68"/>
      <x:c r="AE13" s="68"/>
      <x:c r="AF13" s="68"/>
      <x:c r="AG13" s="68"/>
      <x:c r="AH13" s="68"/>
      <x:c r="AI13" s="68"/>
      <x:c r="AJ13" s="68"/>
      <x:c r="AK13" s="68"/>
      <x:c r="AL13" s="68"/>
      <x:c r="AM13" s="68"/>
      <x:c r="AN13" s="68"/>
      <x:c r="AO13" s="71" t="str">
        <x:f>IF((COUNTIF(D13:AM13,"P")+COUNTIF(D13:AM13,"F"))=0,"",COUNTIF(D13:AM13,"P")/(COUNTIF(D13:AM13,"P")+COUNTIF(D13:AM13,"F")))</x:f>
      </x:c>
      <x:c r="AP13" s="69" t="str">
        <x:f>IF(AO13="","",IF(AO13&gt;=0.75,"APTO","ABAIXO DE 75%"))</x:f>
      </x:c>
    </x:row>
    <x:row r="14" ht="23" customHeight="1">
      <x:c r="A14" s="55" t="n">
        <x:v>7</x:v>
      </x:c>
      <x:c r="B14" s="56"/>
      <x:c r="C14" s="56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  <x:c r="AA14" s="57"/>
      <x:c r="AB14" s="57"/>
      <x:c r="AC14" s="57"/>
      <x:c r="AD14" s="57"/>
      <x:c r="AE14" s="57"/>
      <x:c r="AF14" s="57"/>
      <x:c r="AG14" s="57"/>
      <x:c r="AH14" s="57"/>
      <x:c r="AI14" s="57"/>
      <x:c r="AJ14" s="57"/>
      <x:c r="AK14" s="57"/>
      <x:c r="AL14" s="57"/>
      <x:c r="AM14" s="57"/>
      <x:c r="AN14" s="57"/>
      <x:c r="AO14" s="70" t="str">
        <x:f>IF((COUNTIF(D14:AM14,"P")+COUNTIF(D14:AM14,"F"))=0,"",COUNTIF(D14:AM14,"P")/(COUNTIF(D14:AM14,"P")+COUNTIF(D14:AM14,"F")))</x:f>
      </x:c>
      <x:c r="AP14" s="58" t="str">
        <x:f>IF(AO14="","",IF(AO14&gt;=0.75,"APTO","ABAIXO DE 75%"))</x:f>
      </x:c>
    </x:row>
    <x:row r="15" ht="23" customHeight="1">
      <x:c r="A15" s="55" t="n">
        <x:v>8</x:v>
      </x:c>
      <x:c r="B15" s="67"/>
      <x:c r="C15" s="67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  <x:c r="AA15" s="68"/>
      <x:c r="AB15" s="68"/>
      <x:c r="AC15" s="68"/>
      <x:c r="AD15" s="68"/>
      <x:c r="AE15" s="68"/>
      <x:c r="AF15" s="68"/>
      <x:c r="AG15" s="68"/>
      <x:c r="AH15" s="68"/>
      <x:c r="AI15" s="68"/>
      <x:c r="AJ15" s="68"/>
      <x:c r="AK15" s="68"/>
      <x:c r="AL15" s="68"/>
      <x:c r="AM15" s="68"/>
      <x:c r="AN15" s="68"/>
      <x:c r="AO15" s="71" t="str">
        <x:f>IF((COUNTIF(D15:AM15,"P")+COUNTIF(D15:AM15,"F"))=0,"",COUNTIF(D15:AM15,"P")/(COUNTIF(D15:AM15,"P")+COUNTIF(D15:AM15,"F")))</x:f>
      </x:c>
      <x:c r="AP15" s="69" t="str">
        <x:f>IF(AO15="","",IF(AO15&gt;=0.75,"APTO","ABAIXO DE 75%"))</x:f>
      </x:c>
    </x:row>
    <x:row r="16" ht="23" customHeight="1">
      <x:c r="A16" s="55" t="n">
        <x:v>9</x:v>
      </x:c>
      <x:c r="B16" s="56"/>
      <x:c r="C16" s="56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7"/>
      <x:c r="AF16" s="57"/>
      <x:c r="AG16" s="57"/>
      <x:c r="AH16" s="57"/>
      <x:c r="AI16" s="57"/>
      <x:c r="AJ16" s="57"/>
      <x:c r="AK16" s="57"/>
      <x:c r="AL16" s="57"/>
      <x:c r="AM16" s="57"/>
      <x:c r="AN16" s="57"/>
      <x:c r="AO16" s="70" t="str">
        <x:f>IF((COUNTIF(D16:AM16,"P")+COUNTIF(D16:AM16,"F"))=0,"",COUNTIF(D16:AM16,"P")/(COUNTIF(D16:AM16,"P")+COUNTIF(D16:AM16,"F")))</x:f>
      </x:c>
      <x:c r="AP16" s="58" t="str">
        <x:f>IF(AO16="","",IF(AO16&gt;=0.75,"APTO","ABAIXO DE 75%"))</x:f>
      </x:c>
    </x:row>
    <x:row r="17" ht="23" customHeight="1">
      <x:c r="A17" s="55" t="n">
        <x:v>10</x:v>
      </x:c>
      <x:c r="B17" s="67"/>
      <x:c r="C17" s="67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  <x:c r="AA17" s="68"/>
      <x:c r="AB17" s="68"/>
      <x:c r="AC17" s="68"/>
      <x:c r="AD17" s="68"/>
      <x:c r="AE17" s="68"/>
      <x:c r="AF17" s="68"/>
      <x:c r="AG17" s="68"/>
      <x:c r="AH17" s="68"/>
      <x:c r="AI17" s="68"/>
      <x:c r="AJ17" s="68"/>
      <x:c r="AK17" s="68"/>
      <x:c r="AL17" s="68"/>
      <x:c r="AM17" s="68"/>
      <x:c r="AN17" s="68"/>
      <x:c r="AO17" s="71" t="str">
        <x:f>IF((COUNTIF(D17:AM17,"P")+COUNTIF(D17:AM17,"F"))=0,"",COUNTIF(D17:AM17,"P")/(COUNTIF(D17:AM17,"P")+COUNTIF(D17:AM17,"F")))</x:f>
      </x:c>
      <x:c r="AP17" s="69" t="str">
        <x:f>IF(AO17="","",IF(AO17&gt;=0.75,"APTO","ABAIXO DE 75%"))</x:f>
      </x:c>
    </x:row>
    <x:row r="18" ht="23" customHeight="1">
      <x:c r="A18" s="55" t="n">
        <x:v>11</x:v>
      </x:c>
      <x:c r="B18" s="56"/>
      <x:c r="C18" s="56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  <x:c r="AA18" s="57"/>
      <x:c r="AB18" s="57"/>
      <x:c r="AC18" s="57"/>
      <x:c r="AD18" s="57"/>
      <x:c r="AE18" s="57"/>
      <x:c r="AF18" s="57"/>
      <x:c r="AG18" s="57"/>
      <x:c r="AH18" s="57"/>
      <x:c r="AI18" s="57"/>
      <x:c r="AJ18" s="57"/>
      <x:c r="AK18" s="57"/>
      <x:c r="AL18" s="57"/>
      <x:c r="AM18" s="57"/>
      <x:c r="AN18" s="57"/>
      <x:c r="AO18" s="70" t="str">
        <x:f>IF((COUNTIF(D18:AM18,"P")+COUNTIF(D18:AM18,"F"))=0,"",COUNTIF(D18:AM18,"P")/(COUNTIF(D18:AM18,"P")+COUNTIF(D18:AM18,"F")))</x:f>
      </x:c>
      <x:c r="AP18" s="58" t="str">
        <x:f>IF(AO18="","",IF(AO18&gt;=0.75,"APTO","ABAIXO DE 75%"))</x:f>
      </x:c>
    </x:row>
    <x:row r="19" ht="23" customHeight="1">
      <x:c r="A19" s="55" t="n">
        <x:v>12</x:v>
      </x:c>
      <x:c r="B19" s="67"/>
      <x:c r="C19" s="67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  <x:c r="AA19" s="68"/>
      <x:c r="AB19" s="68"/>
      <x:c r="AC19" s="68"/>
      <x:c r="AD19" s="68"/>
      <x:c r="AE19" s="68"/>
      <x:c r="AF19" s="68"/>
      <x:c r="AG19" s="68"/>
      <x:c r="AH19" s="68"/>
      <x:c r="AI19" s="68"/>
      <x:c r="AJ19" s="68"/>
      <x:c r="AK19" s="68"/>
      <x:c r="AL19" s="68"/>
      <x:c r="AM19" s="68"/>
      <x:c r="AN19" s="68"/>
      <x:c r="AO19" s="71" t="str">
        <x:f>IF((COUNTIF(D19:AM19,"P")+COUNTIF(D19:AM19,"F"))=0,"",COUNTIF(D19:AM19,"P")/(COUNTIF(D19:AM19,"P")+COUNTIF(D19:AM19,"F")))</x:f>
      </x:c>
      <x:c r="AP19" s="69" t="str">
        <x:f>IF(AO19="","",IF(AO19&gt;=0.75,"APTO","ABAIXO DE 75%"))</x:f>
      </x:c>
    </x:row>
    <x:row r="20" ht="23" customHeight="1">
      <x:c r="A20" s="55" t="n">
        <x:v>13</x:v>
      </x:c>
      <x:c r="B20" s="56"/>
      <x:c r="C20" s="56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  <x:c r="AA20" s="57"/>
      <x:c r="AB20" s="57"/>
      <x:c r="AC20" s="57"/>
      <x:c r="AD20" s="57"/>
      <x:c r="AE20" s="57"/>
      <x:c r="AF20" s="57"/>
      <x:c r="AG20" s="57"/>
      <x:c r="AH20" s="57"/>
      <x:c r="AI20" s="57"/>
      <x:c r="AJ20" s="57"/>
      <x:c r="AK20" s="57"/>
      <x:c r="AL20" s="57"/>
      <x:c r="AM20" s="57"/>
      <x:c r="AN20" s="57"/>
      <x:c r="AO20" s="70" t="str">
        <x:f>IF((COUNTIF(D20:AM20,"P")+COUNTIF(D20:AM20,"F"))=0,"",COUNTIF(D20:AM20,"P")/(COUNTIF(D20:AM20,"P")+COUNTIF(D20:AM20,"F")))</x:f>
      </x:c>
      <x:c r="AP20" s="58" t="str">
        <x:f>IF(AO20="","",IF(AO20&gt;=0.75,"APTO","ABAIXO DE 75%"))</x:f>
      </x:c>
    </x:row>
    <x:row r="21" ht="23" customHeight="1">
      <x:c r="A21" s="55" t="n">
        <x:v>14</x:v>
      </x:c>
      <x:c r="B21" s="67"/>
      <x:c r="C21" s="67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  <x:c r="AA21" s="68"/>
      <x:c r="AB21" s="68"/>
      <x:c r="AC21" s="68"/>
      <x:c r="AD21" s="68"/>
      <x:c r="AE21" s="68"/>
      <x:c r="AF21" s="68"/>
      <x:c r="AG21" s="68"/>
      <x:c r="AH21" s="68"/>
      <x:c r="AI21" s="68"/>
      <x:c r="AJ21" s="68"/>
      <x:c r="AK21" s="68"/>
      <x:c r="AL21" s="68"/>
      <x:c r="AM21" s="68"/>
      <x:c r="AN21" s="68"/>
      <x:c r="AO21" s="71" t="str">
        <x:f>IF((COUNTIF(D21:AM21,"P")+COUNTIF(D21:AM21,"F"))=0,"",COUNTIF(D21:AM21,"P")/(COUNTIF(D21:AM21,"P")+COUNTIF(D21:AM21,"F")))</x:f>
      </x:c>
      <x:c r="AP21" s="69" t="str">
        <x:f>IF(AO21="","",IF(AO21&gt;=0.75,"APTO","ABAIXO DE 75%"))</x:f>
      </x:c>
    </x:row>
    <x:row r="22" ht="23" customHeight="1">
      <x:c r="A22" s="55" t="n">
        <x:v>15</x:v>
      </x:c>
      <x:c r="B22" s="56"/>
      <x:c r="C22" s="56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  <x:c r="AA22" s="57"/>
      <x:c r="AB22" s="57"/>
      <x:c r="AC22" s="57"/>
      <x:c r="AD22" s="57"/>
      <x:c r="AE22" s="57"/>
      <x:c r="AF22" s="57"/>
      <x:c r="AG22" s="57"/>
      <x:c r="AH22" s="57"/>
      <x:c r="AI22" s="57"/>
      <x:c r="AJ22" s="57"/>
      <x:c r="AK22" s="57"/>
      <x:c r="AL22" s="57"/>
      <x:c r="AM22" s="57"/>
      <x:c r="AN22" s="57"/>
      <x:c r="AO22" s="70" t="str">
        <x:f>IF((COUNTIF(D22:AM22,"P")+COUNTIF(D22:AM22,"F"))=0,"",COUNTIF(D22:AM22,"P")/(COUNTIF(D22:AM22,"P")+COUNTIF(D22:AM22,"F")))</x:f>
      </x:c>
      <x:c r="AP22" s="58" t="str">
        <x:f>IF(AO22="","",IF(AO22&gt;=0.75,"APTO","ABAIXO DE 75%"))</x:f>
      </x:c>
    </x:row>
    <x:row r="23" ht="23" customHeight="1">
      <x:c r="A23" s="55" t="n">
        <x:v>16</x:v>
      </x:c>
      <x:c r="B23" s="67"/>
      <x:c r="C23" s="67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  <x:c r="AA23" s="68"/>
      <x:c r="AB23" s="68"/>
      <x:c r="AC23" s="68"/>
      <x:c r="AD23" s="68"/>
      <x:c r="AE23" s="68"/>
      <x:c r="AF23" s="68"/>
      <x:c r="AG23" s="68"/>
      <x:c r="AH23" s="68"/>
      <x:c r="AI23" s="68"/>
      <x:c r="AJ23" s="68"/>
      <x:c r="AK23" s="68"/>
      <x:c r="AL23" s="68"/>
      <x:c r="AM23" s="68"/>
      <x:c r="AN23" s="68"/>
      <x:c r="AO23" s="71" t="str">
        <x:f>IF((COUNTIF(D23:AM23,"P")+COUNTIF(D23:AM23,"F"))=0,"",COUNTIF(D23:AM23,"P")/(COUNTIF(D23:AM23,"P")+COUNTIF(D23:AM23,"F")))</x:f>
      </x:c>
      <x:c r="AP23" s="69" t="str">
        <x:f>IF(AO23="","",IF(AO23&gt;=0.75,"APTO","ABAIXO DE 75%"))</x:f>
      </x:c>
    </x:row>
    <x:row r="24" ht="23" customHeight="1">
      <x:c r="A24" s="55" t="n">
        <x:v>17</x:v>
      </x:c>
      <x:c r="B24" s="56"/>
      <x:c r="C24" s="56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  <x:c r="AA24" s="57"/>
      <x:c r="AB24" s="57"/>
      <x:c r="AC24" s="57"/>
      <x:c r="AD24" s="57"/>
      <x:c r="AE24" s="57"/>
      <x:c r="AF24" s="57"/>
      <x:c r="AG24" s="57"/>
      <x:c r="AH24" s="57"/>
      <x:c r="AI24" s="57"/>
      <x:c r="AJ24" s="57"/>
      <x:c r="AK24" s="57"/>
      <x:c r="AL24" s="57"/>
      <x:c r="AM24" s="57"/>
      <x:c r="AN24" s="57"/>
      <x:c r="AO24" s="70" t="str">
        <x:f>IF((COUNTIF(D24:AM24,"P")+COUNTIF(D24:AM24,"F"))=0,"",COUNTIF(D24:AM24,"P")/(COUNTIF(D24:AM24,"P")+COUNTIF(D24:AM24,"F")))</x:f>
      </x:c>
      <x:c r="AP24" s="58" t="str">
        <x:f>IF(AO24="","",IF(AO24&gt;=0.75,"APTO","ABAIXO DE 75%"))</x:f>
      </x:c>
    </x:row>
    <x:row r="25" ht="23" customHeight="1">
      <x:c r="A25" s="55" t="n">
        <x:v>18</x:v>
      </x:c>
      <x:c r="B25" s="67"/>
      <x:c r="C25" s="67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  <x:c r="AA25" s="68"/>
      <x:c r="AB25" s="68"/>
      <x:c r="AC25" s="68"/>
      <x:c r="AD25" s="68"/>
      <x:c r="AE25" s="68"/>
      <x:c r="AF25" s="68"/>
      <x:c r="AG25" s="68"/>
      <x:c r="AH25" s="68"/>
      <x:c r="AI25" s="68"/>
      <x:c r="AJ25" s="68"/>
      <x:c r="AK25" s="68"/>
      <x:c r="AL25" s="68"/>
      <x:c r="AM25" s="68"/>
      <x:c r="AN25" s="68"/>
      <x:c r="AO25" s="71" t="str">
        <x:f>IF((COUNTIF(D25:AM25,"P")+COUNTIF(D25:AM25,"F"))=0,"",COUNTIF(D25:AM25,"P")/(COUNTIF(D25:AM25,"P")+COUNTIF(D25:AM25,"F")))</x:f>
      </x:c>
      <x:c r="AP25" s="69" t="str">
        <x:f>IF(AO25="","",IF(AO25&gt;=0.75,"APTO","ABAIXO DE 75%"))</x:f>
      </x:c>
    </x:row>
    <x:row r="26" ht="23" customHeight="1">
      <x:c r="A26" s="55" t="n">
        <x:v>19</x:v>
      </x:c>
      <x:c r="B26" s="56"/>
      <x:c r="C26" s="56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  <x:c r="AA26" s="57"/>
      <x:c r="AB26" s="57"/>
      <x:c r="AC26" s="57"/>
      <x:c r="AD26" s="57"/>
      <x:c r="AE26" s="57"/>
      <x:c r="AF26" s="57"/>
      <x:c r="AG26" s="57"/>
      <x:c r="AH26" s="57"/>
      <x:c r="AI26" s="57"/>
      <x:c r="AJ26" s="57"/>
      <x:c r="AK26" s="57"/>
      <x:c r="AL26" s="57"/>
      <x:c r="AM26" s="57"/>
      <x:c r="AN26" s="57"/>
      <x:c r="AO26" s="70" t="str">
        <x:f>IF((COUNTIF(D26:AM26,"P")+COUNTIF(D26:AM26,"F"))=0,"",COUNTIF(D26:AM26,"P")/(COUNTIF(D26:AM26,"P")+COUNTIF(D26:AM26,"F")))</x:f>
      </x:c>
      <x:c r="AP26" s="58" t="str">
        <x:f>IF(AO26="","",IF(AO26&gt;=0.75,"APTO","ABAIXO DE 75%"))</x:f>
      </x:c>
    </x:row>
    <x:row r="27" ht="23" customHeight="1">
      <x:c r="A27" s="55" t="n">
        <x:v>20</x:v>
      </x:c>
      <x:c r="B27" s="67"/>
      <x:c r="C27" s="67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  <x:c r="AA27" s="68"/>
      <x:c r="AB27" s="68"/>
      <x:c r="AC27" s="68"/>
      <x:c r="AD27" s="68"/>
      <x:c r="AE27" s="68"/>
      <x:c r="AF27" s="68"/>
      <x:c r="AG27" s="68"/>
      <x:c r="AH27" s="68"/>
      <x:c r="AI27" s="68"/>
      <x:c r="AJ27" s="68"/>
      <x:c r="AK27" s="68"/>
      <x:c r="AL27" s="68"/>
      <x:c r="AM27" s="68"/>
      <x:c r="AN27" s="68"/>
      <x:c r="AO27" s="71" t="str">
        <x:f>IF((COUNTIF(D27:AM27,"P")+COUNTIF(D27:AM27,"F"))=0,"",COUNTIF(D27:AM27,"P")/(COUNTIF(D27:AM27,"P")+COUNTIF(D27:AM27,"F")))</x:f>
      </x:c>
      <x:c r="AP27" s="69" t="str">
        <x:f>IF(AO27="","",IF(AO27&gt;=0.75,"APTO","ABAIXO DE 75%"))</x:f>
      </x:c>
    </x:row>
    <x:row r="28" ht="23" customHeight="1">
      <x:c r="A28" s="55" t="n">
        <x:v>21</x:v>
      </x:c>
      <x:c r="B28" s="56"/>
      <x:c r="C28" s="56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  <x:c r="AA28" s="57"/>
      <x:c r="AB28" s="57"/>
      <x:c r="AC28" s="57"/>
      <x:c r="AD28" s="57"/>
      <x:c r="AE28" s="57"/>
      <x:c r="AF28" s="57"/>
      <x:c r="AG28" s="57"/>
      <x:c r="AH28" s="57"/>
      <x:c r="AI28" s="57"/>
      <x:c r="AJ28" s="57"/>
      <x:c r="AK28" s="57"/>
      <x:c r="AL28" s="57"/>
      <x:c r="AM28" s="57"/>
      <x:c r="AN28" s="57"/>
      <x:c r="AO28" s="70" t="str">
        <x:f>IF((COUNTIF(D28:AM28,"P")+COUNTIF(D28:AM28,"F"))=0,"",COUNTIF(D28:AM28,"P")/(COUNTIF(D28:AM28,"P")+COUNTIF(D28:AM28,"F")))</x:f>
      </x:c>
      <x:c r="AP28" s="58" t="str">
        <x:f>IF(AO28="","",IF(AO28&gt;=0.75,"APTO","ABAIXO DE 75%"))</x:f>
      </x:c>
    </x:row>
    <x:row r="29" ht="23" customHeight="1">
      <x:c r="A29" s="55" t="n">
        <x:v>22</x:v>
      </x:c>
      <x:c r="B29" s="67"/>
      <x:c r="C29" s="67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  <x:c r="AA29" s="68"/>
      <x:c r="AB29" s="68"/>
      <x:c r="AC29" s="68"/>
      <x:c r="AD29" s="68"/>
      <x:c r="AE29" s="68"/>
      <x:c r="AF29" s="68"/>
      <x:c r="AG29" s="68"/>
      <x:c r="AH29" s="68"/>
      <x:c r="AI29" s="68"/>
      <x:c r="AJ29" s="68"/>
      <x:c r="AK29" s="68"/>
      <x:c r="AL29" s="68"/>
      <x:c r="AM29" s="68"/>
      <x:c r="AN29" s="68"/>
      <x:c r="AO29" s="71" t="str">
        <x:f>IF((COUNTIF(D29:AM29,"P")+COUNTIF(D29:AM29,"F"))=0,"",COUNTIF(D29:AM29,"P")/(COUNTIF(D29:AM29,"P")+COUNTIF(D29:AM29,"F")))</x:f>
      </x:c>
      <x:c r="AP29" s="69" t="str">
        <x:f>IF(AO29="","",IF(AO29&gt;=0.75,"APTO","ABAIXO DE 75%"))</x:f>
      </x:c>
    </x:row>
    <x:row r="30" ht="23" customHeight="1">
      <x:c r="A30" s="55" t="n">
        <x:v>23</x:v>
      </x:c>
      <x:c r="B30" s="56"/>
      <x:c r="C30" s="56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  <x:c r="AA30" s="57"/>
      <x:c r="AB30" s="57"/>
      <x:c r="AC30" s="57"/>
      <x:c r="AD30" s="57"/>
      <x:c r="AE30" s="57"/>
      <x:c r="AF30" s="57"/>
      <x:c r="AG30" s="57"/>
      <x:c r="AH30" s="57"/>
      <x:c r="AI30" s="57"/>
      <x:c r="AJ30" s="57"/>
      <x:c r="AK30" s="57"/>
      <x:c r="AL30" s="57"/>
      <x:c r="AM30" s="57"/>
      <x:c r="AN30" s="57"/>
      <x:c r="AO30" s="70" t="str">
        <x:f>IF((COUNTIF(D30:AM30,"P")+COUNTIF(D30:AM30,"F"))=0,"",COUNTIF(D30:AM30,"P")/(COUNTIF(D30:AM30,"P")+COUNTIF(D30:AM30,"F")))</x:f>
      </x:c>
      <x:c r="AP30" s="58" t="str">
        <x:f>IF(AO30="","",IF(AO30&gt;=0.75,"APTO","ABAIXO DE 75%"))</x:f>
      </x:c>
    </x:row>
    <x:row r="31" ht="23" customHeight="1">
      <x:c r="A31" s="55" t="n">
        <x:v>24</x:v>
      </x:c>
      <x:c r="B31" s="67"/>
      <x:c r="C31" s="67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  <x:c r="AA31" s="68"/>
      <x:c r="AB31" s="68"/>
      <x:c r="AC31" s="68"/>
      <x:c r="AD31" s="68"/>
      <x:c r="AE31" s="68"/>
      <x:c r="AF31" s="68"/>
      <x:c r="AG31" s="68"/>
      <x:c r="AH31" s="68"/>
      <x:c r="AI31" s="68"/>
      <x:c r="AJ31" s="68"/>
      <x:c r="AK31" s="68"/>
      <x:c r="AL31" s="68"/>
      <x:c r="AM31" s="68"/>
      <x:c r="AN31" s="68"/>
      <x:c r="AO31" s="71" t="str">
        <x:f>IF((COUNTIF(D31:AM31,"P")+COUNTIF(D31:AM31,"F"))=0,"",COUNTIF(D31:AM31,"P")/(COUNTIF(D31:AM31,"P")+COUNTIF(D31:AM31,"F")))</x:f>
      </x:c>
      <x:c r="AP31" s="69" t="str">
        <x:f>IF(AO31="","",IF(AO31&gt;=0.75,"APTO","ABAIXO DE 75%"))</x:f>
      </x:c>
    </x:row>
    <x:row r="32" ht="23" customHeight="1">
      <x:c r="A32" s="55" t="n">
        <x:v>25</x:v>
      </x:c>
      <x:c r="B32" s="56"/>
      <x:c r="C32" s="56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  <x:c r="AA32" s="57"/>
      <x:c r="AB32" s="57"/>
      <x:c r="AC32" s="57"/>
      <x:c r="AD32" s="57"/>
      <x:c r="AE32" s="57"/>
      <x:c r="AF32" s="57"/>
      <x:c r="AG32" s="57"/>
      <x:c r="AH32" s="57"/>
      <x:c r="AI32" s="57"/>
      <x:c r="AJ32" s="57"/>
      <x:c r="AK32" s="57"/>
      <x:c r="AL32" s="57"/>
      <x:c r="AM32" s="57"/>
      <x:c r="AN32" s="57"/>
      <x:c r="AO32" s="70" t="str">
        <x:f>IF((COUNTIF(D32:AM32,"P")+COUNTIF(D32:AM32,"F"))=0,"",COUNTIF(D32:AM32,"P")/(COUNTIF(D32:AM32,"P")+COUNTIF(D32:AM32,"F")))</x:f>
      </x:c>
      <x:c r="AP32" s="58" t="str">
        <x:f>IF(AO32="","",IF(AO32&gt;=0.75,"APTO","ABAIXO DE 75%"))</x:f>
      </x:c>
    </x:row>
    <x:row r="33" ht="23" customHeight="1">
      <x:c r="A33" s="55" t="n">
        <x:v>26</x:v>
      </x:c>
      <x:c r="B33" s="67"/>
      <x:c r="C33" s="67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  <x:c r="AA33" s="68"/>
      <x:c r="AB33" s="68"/>
      <x:c r="AC33" s="68"/>
      <x:c r="AD33" s="68"/>
      <x:c r="AE33" s="68"/>
      <x:c r="AF33" s="68"/>
      <x:c r="AG33" s="68"/>
      <x:c r="AH33" s="68"/>
      <x:c r="AI33" s="68"/>
      <x:c r="AJ33" s="68"/>
      <x:c r="AK33" s="68"/>
      <x:c r="AL33" s="68"/>
      <x:c r="AM33" s="68"/>
      <x:c r="AN33" s="68"/>
      <x:c r="AO33" s="71" t="str">
        <x:f>IF((COUNTIF(D33:AM33,"P")+COUNTIF(D33:AM33,"F"))=0,"",COUNTIF(D33:AM33,"P")/(COUNTIF(D33:AM33,"P")+COUNTIF(D33:AM33,"F")))</x:f>
      </x:c>
      <x:c r="AP33" s="69" t="str">
        <x:f>IF(AO33="","",IF(AO33&gt;=0.75,"APTO","ABAIXO DE 75%"))</x:f>
      </x:c>
    </x:row>
    <x:row r="34" ht="23" customHeight="1">
      <x:c r="A34" s="55" t="n">
        <x:v>27</x:v>
      </x:c>
      <x:c r="B34" s="56"/>
      <x:c r="C34" s="56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  <x:c r="AA34" s="57"/>
      <x:c r="AB34" s="57"/>
      <x:c r="AC34" s="57"/>
      <x:c r="AD34" s="57"/>
      <x:c r="AE34" s="57"/>
      <x:c r="AF34" s="57"/>
      <x:c r="AG34" s="57"/>
      <x:c r="AH34" s="57"/>
      <x:c r="AI34" s="57"/>
      <x:c r="AJ34" s="57"/>
      <x:c r="AK34" s="57"/>
      <x:c r="AL34" s="57"/>
      <x:c r="AM34" s="57"/>
      <x:c r="AN34" s="57"/>
      <x:c r="AO34" s="70" t="str">
        <x:f>IF((COUNTIF(D34:AM34,"P")+COUNTIF(D34:AM34,"F"))=0,"",COUNTIF(D34:AM34,"P")/(COUNTIF(D34:AM34,"P")+COUNTIF(D34:AM34,"F")))</x:f>
      </x:c>
      <x:c r="AP34" s="58" t="str">
        <x:f>IF(AO34="","",IF(AO34&gt;=0.75,"APTO","ABAIXO DE 75%"))</x:f>
      </x:c>
    </x:row>
    <x:row r="35" ht="23" customHeight="1">
      <x:c r="A35" s="55" t="n">
        <x:v>28</x:v>
      </x:c>
      <x:c r="B35" s="67"/>
      <x:c r="C35" s="67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  <x:c r="AA35" s="68"/>
      <x:c r="AB35" s="68"/>
      <x:c r="AC35" s="68"/>
      <x:c r="AD35" s="68"/>
      <x:c r="AE35" s="68"/>
      <x:c r="AF35" s="68"/>
      <x:c r="AG35" s="68"/>
      <x:c r="AH35" s="68"/>
      <x:c r="AI35" s="68"/>
      <x:c r="AJ35" s="68"/>
      <x:c r="AK35" s="68"/>
      <x:c r="AL35" s="68"/>
      <x:c r="AM35" s="68"/>
      <x:c r="AN35" s="68"/>
      <x:c r="AO35" s="71" t="str">
        <x:f>IF((COUNTIF(D35:AM35,"P")+COUNTIF(D35:AM35,"F"))=0,"",COUNTIF(D35:AM35,"P")/(COUNTIF(D35:AM35,"P")+COUNTIF(D35:AM35,"F")))</x:f>
      </x:c>
      <x:c r="AP35" s="69" t="str">
        <x:f>IF(AO35="","",IF(AO35&gt;=0.75,"APTO","ABAIXO DE 75%"))</x:f>
      </x:c>
    </x:row>
    <x:row r="36" ht="23" customHeight="1">
      <x:c r="A36" s="55" t="n">
        <x:v>29</x:v>
      </x:c>
      <x:c r="B36" s="56"/>
      <x:c r="C36" s="56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  <x:c r="AA36" s="57"/>
      <x:c r="AB36" s="57"/>
      <x:c r="AC36" s="57"/>
      <x:c r="AD36" s="57"/>
      <x:c r="AE36" s="57"/>
      <x:c r="AF36" s="57"/>
      <x:c r="AG36" s="57"/>
      <x:c r="AH36" s="57"/>
      <x:c r="AI36" s="57"/>
      <x:c r="AJ36" s="57"/>
      <x:c r="AK36" s="57"/>
      <x:c r="AL36" s="57"/>
      <x:c r="AM36" s="57"/>
      <x:c r="AN36" s="57"/>
      <x:c r="AO36" s="70" t="str">
        <x:f>IF((COUNTIF(D36:AM36,"P")+COUNTIF(D36:AM36,"F"))=0,"",COUNTIF(D36:AM36,"P")/(COUNTIF(D36:AM36,"P")+COUNTIF(D36:AM36,"F")))</x:f>
      </x:c>
      <x:c r="AP36" s="58" t="str">
        <x:f>IF(AO36="","",IF(AO36&gt;=0.75,"APTO","ABAIXO DE 75%"))</x:f>
      </x:c>
    </x:row>
    <x:row r="37" ht="23" customHeight="1">
      <x:c r="A37" s="55" t="n">
        <x:v>30</x:v>
      </x:c>
      <x:c r="B37" s="67"/>
      <x:c r="C37" s="67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  <x:c r="AA37" s="68"/>
      <x:c r="AB37" s="68"/>
      <x:c r="AC37" s="68"/>
      <x:c r="AD37" s="68"/>
      <x:c r="AE37" s="68"/>
      <x:c r="AF37" s="68"/>
      <x:c r="AG37" s="68"/>
      <x:c r="AH37" s="68"/>
      <x:c r="AI37" s="68"/>
      <x:c r="AJ37" s="68"/>
      <x:c r="AK37" s="68"/>
      <x:c r="AL37" s="68"/>
      <x:c r="AM37" s="68"/>
      <x:c r="AN37" s="68"/>
      <x:c r="AO37" s="71" t="str">
        <x:f>IF((COUNTIF(D37:AM37,"P")+COUNTIF(D37:AM37,"F"))=0,"",COUNTIF(D37:AM37,"P")/(COUNTIF(D37:AM37,"P")+COUNTIF(D37:AM37,"F")))</x:f>
      </x:c>
      <x:c r="AP37" s="69" t="str">
        <x:f>IF(AO37="","",IF(AO37&gt;=0.75,"APTO","ABAIXO DE 75%"))</x:f>
      </x:c>
    </x:row>
    <x:row r="39">
      <x:c r="A39" s="79" t="str">
        <x:v>LEGENDA E ORIENTAÇÕES</x:v>
      </x:c>
      <x:c r="B39" s="80" t="str">
        <x:v>LEGENDA E ORIENTAÇÕES</x:v>
      </x:c>
      <x:c r="C39" s="80" t="str">
        <x:v>LEGENDA E ORIENTAÇÕES</x:v>
      </x:c>
      <x:c r="D39" s="80" t="str">
        <x:v>LEGENDA E ORIENTAÇÕES</x:v>
      </x:c>
      <x:c r="E39" s="80" t="str">
        <x:v>LEGENDA E ORIENTAÇÕES</x:v>
      </x:c>
      <x:c r="F39" s="80" t="str">
        <x:v>LEGENDA E ORIENTAÇÕES</x:v>
      </x:c>
      <x:c r="G39" s="80" t="str">
        <x:v>LEGENDA E ORIENTAÇÕES</x:v>
      </x:c>
      <x:c r="H39" s="80" t="str">
        <x:v>LEGENDA E ORIENTAÇÕES</x:v>
      </x:c>
      <x:c r="I39" s="80" t="str">
        <x:v>LEGENDA E ORIENTAÇÕES</x:v>
      </x:c>
      <x:c r="J39" s="80" t="str">
        <x:v>LEGENDA E ORIENTAÇÕES</x:v>
      </x:c>
      <x:c r="K39" s="80" t="str">
        <x:v>LEGENDA E ORIENTAÇÕES</x:v>
      </x:c>
      <x:c r="L39" s="80" t="str">
        <x:v>LEGENDA E ORIENTAÇÕES</x:v>
      </x:c>
      <x:c r="M39" s="80" t="str">
        <x:v>LEGENDA E ORIENTAÇÕES</x:v>
      </x:c>
      <x:c r="N39" s="80" t="str">
        <x:v>LEGENDA E ORIENTAÇÕES</x:v>
      </x:c>
      <x:c r="O39" s="80" t="str">
        <x:v>LEGENDA E ORIENTAÇÕES</x:v>
      </x:c>
      <x:c r="P39" s="80" t="str">
        <x:v>LEGENDA E ORIENTAÇÕES</x:v>
      </x:c>
      <x:c r="Q39" s="80" t="str">
        <x:v>LEGENDA E ORIENTAÇÕES</x:v>
      </x:c>
      <x:c r="R39" s="80" t="str">
        <x:v>LEGENDA E ORIENTAÇÕES</x:v>
      </x:c>
      <x:c r="S39" s="80" t="str">
        <x:v>LEGENDA E ORIENTAÇÕES</x:v>
      </x:c>
      <x:c r="T39" s="80" t="str">
        <x:v>LEGENDA E ORIENTAÇÕES</x:v>
      </x:c>
      <x:c r="U39" s="80" t="str">
        <x:v>LEGENDA E ORIENTAÇÕES</x:v>
      </x:c>
      <x:c r="V39" s="80" t="str">
        <x:v>LEGENDA E ORIENTAÇÕES</x:v>
      </x:c>
      <x:c r="W39" s="80" t="str">
        <x:v>LEGENDA E ORIENTAÇÕES</x:v>
      </x:c>
      <x:c r="X39" s="80" t="str">
        <x:v>LEGENDA E ORIENTAÇÕES</x:v>
      </x:c>
      <x:c r="Y39" s="80" t="str">
        <x:v>LEGENDA E ORIENTAÇÕES</x:v>
      </x:c>
      <x:c r="Z39" s="80" t="str">
        <x:v>LEGENDA E ORIENTAÇÕES</x:v>
      </x:c>
      <x:c r="AA39" s="80" t="str">
        <x:v>LEGENDA E ORIENTAÇÕES</x:v>
      </x:c>
      <x:c r="AB39" s="80" t="str">
        <x:v>LEGENDA E ORIENTAÇÕES</x:v>
      </x:c>
      <x:c r="AC39" s="80" t="str">
        <x:v>LEGENDA E ORIENTAÇÕES</x:v>
      </x:c>
      <x:c r="AD39" s="80" t="str">
        <x:v>LEGENDA E ORIENTAÇÕES</x:v>
      </x:c>
      <x:c r="AE39" s="80" t="str">
        <x:v>LEGENDA E ORIENTAÇÕES</x:v>
      </x:c>
      <x:c r="AF39" s="80" t="str">
        <x:v>LEGENDA E ORIENTAÇÕES</x:v>
      </x:c>
      <x:c r="AG39" s="80" t="str">
        <x:v>LEGENDA E ORIENTAÇÕES</x:v>
      </x:c>
      <x:c r="AH39" s="80" t="str">
        <x:v>LEGENDA E ORIENTAÇÕES</x:v>
      </x:c>
      <x:c r="AI39" s="80" t="str">
        <x:v>LEGENDA E ORIENTAÇÕES</x:v>
      </x:c>
      <x:c r="AJ39" s="80" t="str">
        <x:v>LEGENDA E ORIENTAÇÕES</x:v>
      </x:c>
      <x:c r="AK39" s="80" t="str">
        <x:v>LEGENDA E ORIENTAÇÕES</x:v>
      </x:c>
      <x:c r="AL39" s="80" t="str">
        <x:v>LEGENDA E ORIENTAÇÕES</x:v>
      </x:c>
      <x:c r="AM39" s="80" t="str">
        <x:v>LEGENDA E ORIENTAÇÕES</x:v>
      </x:c>
      <x:c r="AN39" s="80" t="str">
        <x:v>LEGENDA E ORIENTAÇÕES</x:v>
      </x:c>
      <x:c r="AO39" s="80" t="str">
        <x:v>LEGENDA E ORIENTAÇÕES</x:v>
      </x:c>
      <x:c r="AP39" s="81" t="str">
        <x:v>LEGENDA E ORIENTAÇÕES</x:v>
      </x:c>
    </x:row>
    <x:row r="40" ht="22" customHeight="1">
      <x:c r="A40" s="90" t="str">
        <x:v>P = presença/atividade realizada; F = falta/atividade não realizada; N/A = não se aplica.</x:v>
      </x:c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2"/>
    </x:row>
    <x:row r="41" ht="22" customHeight="1">
      <x:c r="A41" s="90" t="str">
        <x:v>I. Frequência mínima de 75%, considerando as atividades registradas nos seis módulos.</x:v>
      </x:c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2"/>
    </x:row>
    <x:row r="42" ht="22" customHeight="1">
      <x:c r="A42" s="90" t="str">
        <x:v>1. Atividades síncronas na plataforma — registro de presença/participação.</x:v>
      </x:c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2"/>
    </x:row>
    <x:row r="43" ht="22" customHeight="1">
      <x:c r="A43" s="90" t="str">
        <x:v>2. Formação e encontros nacionais — registro de participação.</x:v>
      </x:c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2"/>
    </x:row>
    <x:row r="44" ht="22" customHeight="1">
      <x:c r="A44" s="90" t="str">
        <x:v>3. Atividades assíncronas e fóruns — registro de acesso e entrega no AVA.</x:v>
      </x:c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2"/>
    </x:row>
    <x:row r="45" ht="22" customHeight="1">
      <x:c r="A45" s="90" t="str">
        <x:v>4. Trabalho do módulo — entrega conforme cronograma.</x:v>
      </x:c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2"/>
    </x:row>
    <x:row r="46" ht="22" customHeight="1">
      <x:c r="A46" s="90" t="str">
        <x:v>II. Trabalho final — entrega ao(à) formador(a).</x:v>
      </x:c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2"/>
    </x:row>
  </x:sheetData>
  <x:mergeCells>
    <x:mergeCell ref="A1:AP1"/>
    <x:mergeCell ref="A2:B2"/>
    <x:mergeCell ref="N2:P2"/>
    <x:mergeCell ref="A3:B3"/>
    <x:mergeCell ref="G3:H3"/>
    <x:mergeCell ref="N3:P3"/>
    <x:mergeCell ref="C2:M2"/>
    <x:mergeCell ref="Q2:AP2"/>
    <x:mergeCell ref="C3:F3"/>
    <x:mergeCell ref="I3:M3"/>
    <x:mergeCell ref="Q3:AP3"/>
    <x:mergeCell ref="A5:AP5"/>
    <x:mergeCell ref="A6:A7"/>
    <x:mergeCell ref="B6:B7"/>
    <x:mergeCell ref="C6:C7"/>
    <x:mergeCell ref="AN6:AN7"/>
    <x:mergeCell ref="AO6:AO7"/>
    <x:mergeCell ref="AP6:AP7"/>
    <x:mergeCell ref="D6:I6"/>
    <x:mergeCell ref="J6:O6"/>
    <x:mergeCell ref="P6:U6"/>
    <x:mergeCell ref="V6:AA6"/>
    <x:mergeCell ref="AB6:AG6"/>
    <x:mergeCell ref="AH6:AM6"/>
    <x:mergeCell ref="A39:AP39"/>
    <x:mergeCell ref="A40:AP40"/>
    <x:mergeCell ref="A41:AP41"/>
    <x:mergeCell ref="A42:AP42"/>
    <x:mergeCell ref="A43:AP43"/>
    <x:mergeCell ref="A44:AP44"/>
    <x:mergeCell ref="A45:AP45"/>
    <x:mergeCell ref="A46:AP46"/>
  </x:mergeCells>
  <x:conditionalFormatting sqref="D8:AM37">
    <x:cfRule type="containsText" dxfId="0" priority="1" operator="containsText" text="P"/>
    <x:cfRule type="containsText" dxfId="1" priority="2" operator="containsText" text="F"/>
    <x:cfRule type="containsText" dxfId="2" priority="3" operator="containsText" text="N/A"/>
  </x:conditionalFormatting>
  <x:conditionalFormatting sqref="AO8:AO37">
    <x:cfRule type="expression" dxfId="3" priority="4">
      <x:formula>AND(ISNUMBER(AO8),AO8&gt;=0.75)</x:formula>
    </x:cfRule>
    <x:cfRule type="expression" dxfId="4" priority="5">
      <x:formula>AND(ISNUMBER(AO8),AO8&lt;0.75)</x:formula>
    </x:cfRule>
  </x:conditionalFormatting>
  <x:conditionalFormatting sqref="AP8:AP37">
    <x:cfRule type="containsText" dxfId="5" priority="6" operator="containsText" text="APTO"/>
    <x:cfRule type="containsText" dxfId="6" priority="7" operator="containsText" text="ABAIXO"/>
  </x:conditionalFormatting>
  <x:dataValidations count="2">
    <x:dataValidation type="list" sqref="D8:AM37">
      <x:formula1>"P,F,N/A"</x:formula1>
    </x:dataValidation>
    <x:dataValidation type="list" sqref="AN8:AN37">
      <x:formula1>"SIM,NÃO,PENDENTE"</x:formula1>
    </x:dataValidation>
  </x:dataValidations>
  <x:pageMargins left="0.7" right="0.7" top="0.75" bottom="0.75" header="0.3" footer="0.3"/>
  <x:legacyDrawing xmlns:r="http://schemas.openxmlformats.org/officeDocument/2006/relationships" r:id="R1d799aa8830e4d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30" hidden="0" customWidth="1"/>
    <x:col min="3" max="3" width="2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34" customHeight="1">
      <x:c r="A1" s="12" t="str">
        <x:v>[DIGITE O TÍTULO DO CURSO] — PLANILHA DE RESULTADO FINAL</x:v>
      </x:c>
      <x:c r="B1" s="13" t="str">
        <x:v>[DIGITE O TÍTULO DO CURSO] — PLANILHA DE RESULTADO FINAL</x:v>
      </x:c>
      <x:c r="C1" s="13" t="str">
        <x:v>[DIGITE O TÍTULO DO CURSO] — PLANILHA DE RESULTADO FINAL</x:v>
      </x:c>
      <x:c r="D1" s="13" t="str">
        <x:v>[DIGITE O TÍTULO DO CURSO] — PLANILHA DE RESULTADO FINAL</x:v>
      </x:c>
      <x:c r="E1" s="13" t="str">
        <x:v>[DIGITE O TÍTULO DO CURSO] — PLANILHA DE RESULTADO FINAL</x:v>
      </x:c>
      <x:c r="F1" s="13" t="str">
        <x:v>[DIGITE O TÍTULO DO CURSO] — PLANILHA DE RESULTADO FINAL</x:v>
      </x:c>
      <x:c r="G1" s="13" t="str">
        <x:v>[DIGITE O TÍTULO DO CURSO] — PLANILHA DE RESULTADO FINAL</x:v>
      </x:c>
      <x:c r="H1" s="13" t="str">
        <x:v>[DIGITE O TÍTULO DO CURSO] — PLANILHA DE RESULTADO FINAL</x:v>
      </x:c>
      <x:c r="I1" s="13" t="str">
        <x:v>[DIGITE O TÍTULO DO CURSO] — PLANILHA DE RESULTADO FINAL</x:v>
      </x:c>
      <x:c r="J1" s="13" t="str">
        <x:v>[DIGITE O TÍTULO DO CURSO] — PLANILHA DE RESULTADO FINAL</x:v>
      </x:c>
      <x:c r="K1" s="13" t="str">
        <x:v>[DIGITE O TÍTULO DO CURSO] — PLANILHA DE RESULTADO FINAL</x:v>
      </x:c>
      <x:c r="L1" s="13" t="str">
        <x:v>[DIGITE O TÍTULO DO CURSO] — PLANILHA DE RESULTADO FINAL</x:v>
      </x:c>
      <x:c r="M1" s="14" t="str">
        <x:v>[DIGITE O TÍTULO DO CURSO] — PLANILHA DE RESULTADO FINAL</x:v>
      </x:c>
    </x:row>
    <x:row r="2">
      <x:c r="A2" s="19" t="str">
        <x:v>CURSO</x:v>
      </x:c>
      <x:c r="B2" s="19" t="str">
        <x:v>CURSO</x:v>
      </x:c>
      <x:c r="C2" s="24" t="str">
        <x:f>IF('1 - Acompanhamento'!C2="","",'1 - Acompanhamento'!C2)</x:f>
        <x:v>Preencher</x:v>
      </x:c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>
      <x:c r="A3" s="19" t="str">
        <x:v>FORMADOR(A)</x:v>
      </x:c>
      <x:c r="B3" s="19" t="str">
        <x:v>FORMADOR(A)</x:v>
      </x:c>
      <x:c r="C3" s="24" t="str">
        <x:f>IF('1 - Acompanhamento'!Q2="","",'1 - Acompanhamento'!Q2)</x:f>
        <x:v>Preencher</x:v>
      </x:c>
      <x:c r="D3" s="24"/>
      <x:c r="E3" s="24"/>
      <x:c r="F3" s="24"/>
      <x:c r="G3" s="19" t="str">
        <x:v>TURMA</x:v>
      </x:c>
      <x:c r="H3" s="19" t="str">
        <x:v>TURMA</x:v>
      </x:c>
      <x:c r="I3" s="24" t="str">
        <x:f>IF('1 - Acompanhamento'!C3="","",'1 - Acompanhamento'!C3)</x:f>
        <x:v>Preencher</x:v>
      </x:c>
      <x:c r="J3" s="24"/>
      <x:c r="K3" s="19" t="str">
        <x:v>ESTADO</x:v>
      </x:c>
      <x:c r="L3" s="19" t="str">
        <x:v>ESTADO</x:v>
      </x:c>
      <x:c r="M3" s="24" t="str">
        <x:f>IF('1 - Acompanhamento'!I3="","",'1 - Acompanhamento'!I3)</x:f>
        <x:v>Preencher</x:v>
      </x:c>
    </x:row>
    <x:row r="4" ht="9" customHeight="1"/>
    <x:row r="5">
      <x:c r="A5" s="33" t="str">
        <x:v>ENTREGA DA ATIVIDADE FINAL</x:v>
      </x:c>
      <x:c r="B5" s="34" t="str">
        <x:v>ENTREGA DA ATIVIDADE FINAL</x:v>
      </x:c>
      <x:c r="C5" s="34" t="str">
        <x:v>ENTREGA DA ATIVIDADE FINAL</x:v>
      </x:c>
      <x:c r="D5" s="34" t="str">
        <x:v>ENTREGA DA ATIVIDADE FINAL</x:v>
      </x:c>
      <x:c r="E5" s="34" t="str">
        <x:v>ENTREGA DA ATIVIDADE FINAL</x:v>
      </x:c>
      <x:c r="F5" s="34" t="str">
        <x:v>ENTREGA DA ATIVIDADE FINAL</x:v>
      </x:c>
      <x:c r="G5" s="34" t="str">
        <x:v>ENTREGA DA ATIVIDADE FINAL</x:v>
      </x:c>
      <x:c r="H5" s="34" t="str">
        <x:v>ENTREGA DA ATIVIDADE FINAL</x:v>
      </x:c>
      <x:c r="I5" s="34" t="str">
        <x:v>ENTREGA DA ATIVIDADE FINAL</x:v>
      </x:c>
      <x:c r="J5" s="34" t="str">
        <x:v>ENTREGA DA ATIVIDADE FINAL</x:v>
      </x:c>
      <x:c r="K5" s="34" t="str">
        <x:v>ENTREGA DA ATIVIDADE FINAL</x:v>
      </x:c>
      <x:c r="L5" s="34" t="str">
        <x:v>ENTREGA DA ATIVIDADE FINAL</x:v>
      </x:c>
      <x:c r="M5" s="35" t="str">
        <x:v>ENTREGA DA ATIVIDADE FINAL</x:v>
      </x:c>
    </x:row>
    <x:row r="6" ht="36" customHeight="1">
      <x:c r="A6" s="43" t="str">
        <x:v>Nº</x:v>
      </x:c>
      <x:c r="B6" s="43" t="str">
        <x:v>CURSISTA</x:v>
      </x:c>
      <x:c r="C6" s="43" t="str">
        <x:v>MUNICÍPIO</x:v>
      </x:c>
      <x:c r="D6" s="41" t="str">
        <x:v>RESULTADO GERAL DOS MÓDULOS</x:v>
      </x:c>
      <x:c r="E6" s="41" t="str">
        <x:v>RESULTADO GERAL DOS MÓDULOS</x:v>
      </x:c>
      <x:c r="F6" s="41" t="str">
        <x:v>RESULTADO GERAL DOS MÓDULOS</x:v>
      </x:c>
      <x:c r="G6" s="41" t="str">
        <x:v>RESULTADO GERAL DOS MÓDULOS</x:v>
      </x:c>
      <x:c r="H6" s="41" t="str">
        <x:v>RESULTADO GERAL DOS MÓDULOS</x:v>
      </x:c>
      <x:c r="I6" s="41" t="str">
        <x:v>RESULTADO GERAL DOS MÓDULOS</x:v>
      </x:c>
      <x:c r="J6" s="41" t="str">
        <x:v>TRABALHO FINAL — ENTREGOU</x:v>
      </x:c>
      <x:c r="K6" s="41" t="str">
        <x:v>TRABALHO FINAL — ENTREGOU</x:v>
      </x:c>
      <x:c r="L6" s="41" t="str">
        <x:v>RESULTADO GERAL — CERTIFICAR</x:v>
      </x:c>
      <x:c r="M6" s="41" t="str">
        <x:v>RESULTADO GERAL — CERTIFICAR</x:v>
      </x:c>
    </x:row>
    <x:row r="7" ht="24" customHeight="1">
      <x:c r="A7" s="43"/>
      <x:c r="B7" s="43"/>
      <x:c r="C7" s="43"/>
      <x:c r="D7" s="41" t="n">
        <x:v>1</x:v>
      </x:c>
      <x:c r="E7" s="41" t="n">
        <x:v>2</x:v>
      </x:c>
      <x:c r="F7" s="41" t="n">
        <x:v>3</x:v>
      </x:c>
      <x:c r="G7" s="41" t="n">
        <x:v>4</x:v>
      </x:c>
      <x:c r="H7" s="41" t="n">
        <x:v>5</x:v>
      </x:c>
      <x:c r="I7" s="41" t="n">
        <x:v>6</x:v>
      </x:c>
      <x:c r="J7" s="41" t="str">
        <x:v>SIM</x:v>
      </x:c>
      <x:c r="K7" s="41" t="str">
        <x:v>NÃO</x:v>
      </x:c>
      <x:c r="L7" s="41" t="str">
        <x:v>SIM</x:v>
      </x:c>
      <x:c r="M7" s="41" t="str">
        <x:v>NÃO</x:v>
      </x:c>
    </x:row>
    <x:row r="8" ht="23" customHeight="1">
      <x:c r="A8" s="55" t="n">
        <x:v>1</x:v>
      </x:c>
      <x:c r="B8" s="50" t="str">
        <x:f>IF('1 - Acompanhamento'!B8="","",'1 - Acompanhamento'!B8)</x:f>
      </x:c>
      <x:c r="C8" s="50" t="str">
        <x:f>IF('1 - Acompanhamento'!C8="","",'1 - Acompanhamento'!C8)</x:f>
      </x:c>
      <x:c r="D8" s="57"/>
      <x:c r="E8" s="57"/>
      <x:c r="F8" s="57"/>
      <x:c r="G8" s="57"/>
      <x:c r="H8" s="57"/>
      <x:c r="I8" s="57"/>
      <x:c r="J8" s="57"/>
      <x:c r="K8" s="57"/>
      <x:c r="L8" s="57" t="str">
        <x:f>IF(OR(COUNTA(D8:I8)&lt;6,COUNTIF(J8:K8,"X")&lt;&gt;1),"",IF(AND(COUNTIF(D8:I8,"APROVADO")=6,J8="X"),"X",""))</x:f>
      </x:c>
      <x:c r="M8" s="58" t="str">
        <x:f>IF(OR(COUNTA(D8:I8)&lt;6,COUNTIF(J8:K8,"X")&lt;&gt;1),"",IF(L8="X","","X"))</x:f>
      </x:c>
    </x:row>
    <x:row r="9" ht="23" customHeight="1">
      <x:c r="A9" s="55" t="n">
        <x:v>2</x:v>
      </x:c>
      <x:c r="B9" s="65" t="str">
        <x:f>IF('1 - Acompanhamento'!B9="","",'1 - Acompanhamento'!B9)</x:f>
      </x:c>
      <x:c r="C9" s="65" t="str">
        <x:f>IF('1 - Acompanhamento'!C9="","",'1 - Acompanhamento'!C9)</x:f>
      </x:c>
      <x:c r="D9" s="68"/>
      <x:c r="E9" s="68"/>
      <x:c r="F9" s="68"/>
      <x:c r="G9" s="68"/>
      <x:c r="H9" s="68"/>
      <x:c r="I9" s="68"/>
      <x:c r="J9" s="68"/>
      <x:c r="K9" s="68"/>
      <x:c r="L9" s="68" t="str">
        <x:f>IF(OR(COUNTA(D9:I9)&lt;6,COUNTIF(J9:K9,"X")&lt;&gt;1),"",IF(AND(COUNTIF(D9:I9,"APROVADO")=6,J9="X"),"X",""))</x:f>
      </x:c>
      <x:c r="M9" s="69" t="str">
        <x:f>IF(OR(COUNTA(D9:I9)&lt;6,COUNTIF(J9:K9,"X")&lt;&gt;1),"",IF(L9="X","","X"))</x:f>
      </x:c>
    </x:row>
    <x:row r="10" ht="23" customHeight="1">
      <x:c r="A10" s="55" t="n">
        <x:v>3</x:v>
      </x:c>
      <x:c r="B10" s="50" t="str">
        <x:f>IF('1 - Acompanhamento'!B10="","",'1 - Acompanhamento'!B10)</x:f>
      </x:c>
      <x:c r="C10" s="50" t="str">
        <x:f>IF('1 - Acompanhamento'!C10="","",'1 - Acompanhamento'!C10)</x:f>
      </x:c>
      <x:c r="D10" s="57"/>
      <x:c r="E10" s="57"/>
      <x:c r="F10" s="57"/>
      <x:c r="G10" s="57"/>
      <x:c r="H10" s="57"/>
      <x:c r="I10" s="57"/>
      <x:c r="J10" s="57"/>
      <x:c r="K10" s="57"/>
      <x:c r="L10" s="57" t="str">
        <x:f>IF(OR(COUNTA(D10:I10)&lt;6,COUNTIF(J10:K10,"X")&lt;&gt;1),"",IF(AND(COUNTIF(D10:I10,"APROVADO")=6,J10="X"),"X",""))</x:f>
      </x:c>
      <x:c r="M10" s="58" t="str">
        <x:f>IF(OR(COUNTA(D10:I10)&lt;6,COUNTIF(J10:K10,"X")&lt;&gt;1),"",IF(L10="X","","X"))</x:f>
      </x:c>
    </x:row>
    <x:row r="11" ht="23" customHeight="1">
      <x:c r="A11" s="55" t="n">
        <x:v>4</x:v>
      </x:c>
      <x:c r="B11" s="65" t="str">
        <x:f>IF('1 - Acompanhamento'!B11="","",'1 - Acompanhamento'!B11)</x:f>
      </x:c>
      <x:c r="C11" s="65" t="str">
        <x:f>IF('1 - Acompanhamento'!C11="","",'1 - Acompanhamento'!C11)</x:f>
      </x:c>
      <x:c r="D11" s="68"/>
      <x:c r="E11" s="68"/>
      <x:c r="F11" s="68"/>
      <x:c r="G11" s="68"/>
      <x:c r="H11" s="68"/>
      <x:c r="I11" s="68"/>
      <x:c r="J11" s="68"/>
      <x:c r="K11" s="68"/>
      <x:c r="L11" s="68" t="str">
        <x:f>IF(OR(COUNTA(D11:I11)&lt;6,COUNTIF(J11:K11,"X")&lt;&gt;1),"",IF(AND(COUNTIF(D11:I11,"APROVADO")=6,J11="X"),"X",""))</x:f>
      </x:c>
      <x:c r="M11" s="69" t="str">
        <x:f>IF(OR(COUNTA(D11:I11)&lt;6,COUNTIF(J11:K11,"X")&lt;&gt;1),"",IF(L11="X","","X"))</x:f>
      </x:c>
    </x:row>
    <x:row r="12" ht="23" customHeight="1">
      <x:c r="A12" s="55" t="n">
        <x:v>5</x:v>
      </x:c>
      <x:c r="B12" s="50" t="str">
        <x:f>IF('1 - Acompanhamento'!B12="","",'1 - Acompanhamento'!B12)</x:f>
      </x:c>
      <x:c r="C12" s="50" t="str">
        <x:f>IF('1 - Acompanhamento'!C12="","",'1 - Acompanhamento'!C12)</x:f>
      </x:c>
      <x:c r="D12" s="57"/>
      <x:c r="E12" s="57"/>
      <x:c r="F12" s="57"/>
      <x:c r="G12" s="57"/>
      <x:c r="H12" s="57"/>
      <x:c r="I12" s="57"/>
      <x:c r="J12" s="57"/>
      <x:c r="K12" s="57"/>
      <x:c r="L12" s="57" t="str">
        <x:f>IF(OR(COUNTA(D12:I12)&lt;6,COUNTIF(J12:K12,"X")&lt;&gt;1),"",IF(AND(COUNTIF(D12:I12,"APROVADO")=6,J12="X"),"X",""))</x:f>
      </x:c>
      <x:c r="M12" s="58" t="str">
        <x:f>IF(OR(COUNTA(D12:I12)&lt;6,COUNTIF(J12:K12,"X")&lt;&gt;1),"",IF(L12="X","","X"))</x:f>
      </x:c>
    </x:row>
    <x:row r="13" ht="23" customHeight="1">
      <x:c r="A13" s="55" t="n">
        <x:v>6</x:v>
      </x:c>
      <x:c r="B13" s="65" t="str">
        <x:f>IF('1 - Acompanhamento'!B13="","",'1 - Acompanhamento'!B13)</x:f>
      </x:c>
      <x:c r="C13" s="65" t="str">
        <x:f>IF('1 - Acompanhamento'!C13="","",'1 - Acompanhamento'!C13)</x:f>
      </x:c>
      <x:c r="D13" s="68"/>
      <x:c r="E13" s="68"/>
      <x:c r="F13" s="68"/>
      <x:c r="G13" s="68"/>
      <x:c r="H13" s="68"/>
      <x:c r="I13" s="68"/>
      <x:c r="J13" s="68"/>
      <x:c r="K13" s="68"/>
      <x:c r="L13" s="68" t="str">
        <x:f>IF(OR(COUNTA(D13:I13)&lt;6,COUNTIF(J13:K13,"X")&lt;&gt;1),"",IF(AND(COUNTIF(D13:I13,"APROVADO")=6,J13="X"),"X",""))</x:f>
      </x:c>
      <x:c r="M13" s="69" t="str">
        <x:f>IF(OR(COUNTA(D13:I13)&lt;6,COUNTIF(J13:K13,"X")&lt;&gt;1),"",IF(L13="X","","X"))</x:f>
      </x:c>
    </x:row>
    <x:row r="14" ht="23" customHeight="1">
      <x:c r="A14" s="55" t="n">
        <x:v>7</x:v>
      </x:c>
      <x:c r="B14" s="50" t="str">
        <x:f>IF('1 - Acompanhamento'!B14="","",'1 - Acompanhamento'!B14)</x:f>
      </x:c>
      <x:c r="C14" s="50" t="str">
        <x:f>IF('1 - Acompanhamento'!C14="","",'1 - Acompanhamento'!C14)</x:f>
      </x:c>
      <x:c r="D14" s="57"/>
      <x:c r="E14" s="57"/>
      <x:c r="F14" s="57"/>
      <x:c r="G14" s="57"/>
      <x:c r="H14" s="57"/>
      <x:c r="I14" s="57"/>
      <x:c r="J14" s="57"/>
      <x:c r="K14" s="57"/>
      <x:c r="L14" s="57" t="str">
        <x:f>IF(OR(COUNTA(D14:I14)&lt;6,COUNTIF(J14:K14,"X")&lt;&gt;1),"",IF(AND(COUNTIF(D14:I14,"APROVADO")=6,J14="X"),"X",""))</x:f>
      </x:c>
      <x:c r="M14" s="58" t="str">
        <x:f>IF(OR(COUNTA(D14:I14)&lt;6,COUNTIF(J14:K14,"X")&lt;&gt;1),"",IF(L14="X","","X"))</x:f>
      </x:c>
    </x:row>
    <x:row r="15" ht="23" customHeight="1">
      <x:c r="A15" s="55" t="n">
        <x:v>8</x:v>
      </x:c>
      <x:c r="B15" s="65" t="str">
        <x:f>IF('1 - Acompanhamento'!B15="","",'1 - Acompanhamento'!B15)</x:f>
      </x:c>
      <x:c r="C15" s="65" t="str">
        <x:f>IF('1 - Acompanhamento'!C15="","",'1 - Acompanhamento'!C15)</x:f>
      </x:c>
      <x:c r="D15" s="68"/>
      <x:c r="E15" s="68"/>
      <x:c r="F15" s="68"/>
      <x:c r="G15" s="68"/>
      <x:c r="H15" s="68"/>
      <x:c r="I15" s="68"/>
      <x:c r="J15" s="68"/>
      <x:c r="K15" s="68"/>
      <x:c r="L15" s="68" t="str">
        <x:f>IF(OR(COUNTA(D15:I15)&lt;6,COUNTIF(J15:K15,"X")&lt;&gt;1),"",IF(AND(COUNTIF(D15:I15,"APROVADO")=6,J15="X"),"X",""))</x:f>
      </x:c>
      <x:c r="M15" s="69" t="str">
        <x:f>IF(OR(COUNTA(D15:I15)&lt;6,COUNTIF(J15:K15,"X")&lt;&gt;1),"",IF(L15="X","","X"))</x:f>
      </x:c>
    </x:row>
    <x:row r="16" ht="23" customHeight="1">
      <x:c r="A16" s="55" t="n">
        <x:v>9</x:v>
      </x:c>
      <x:c r="B16" s="50" t="str">
        <x:f>IF('1 - Acompanhamento'!B16="","",'1 - Acompanhamento'!B16)</x:f>
      </x:c>
      <x:c r="C16" s="50" t="str">
        <x:f>IF('1 - Acompanhamento'!C16="","",'1 - Acompanhamento'!C16)</x:f>
      </x:c>
      <x:c r="D16" s="57"/>
      <x:c r="E16" s="57"/>
      <x:c r="F16" s="57"/>
      <x:c r="G16" s="57"/>
      <x:c r="H16" s="57"/>
      <x:c r="I16" s="57"/>
      <x:c r="J16" s="57"/>
      <x:c r="K16" s="57"/>
      <x:c r="L16" s="57" t="str">
        <x:f>IF(OR(COUNTA(D16:I16)&lt;6,COUNTIF(J16:K16,"X")&lt;&gt;1),"",IF(AND(COUNTIF(D16:I16,"APROVADO")=6,J16="X"),"X",""))</x:f>
      </x:c>
      <x:c r="M16" s="58" t="str">
        <x:f>IF(OR(COUNTA(D16:I16)&lt;6,COUNTIF(J16:K16,"X")&lt;&gt;1),"",IF(L16="X","","X"))</x:f>
      </x:c>
    </x:row>
    <x:row r="17" ht="23" customHeight="1">
      <x:c r="A17" s="55" t="n">
        <x:v>10</x:v>
      </x:c>
      <x:c r="B17" s="65" t="str">
        <x:f>IF('1 - Acompanhamento'!B17="","",'1 - Acompanhamento'!B17)</x:f>
      </x:c>
      <x:c r="C17" s="65" t="str">
        <x:f>IF('1 - Acompanhamento'!C17="","",'1 - Acompanhamento'!C17)</x:f>
      </x:c>
      <x:c r="D17" s="68"/>
      <x:c r="E17" s="68"/>
      <x:c r="F17" s="68"/>
      <x:c r="G17" s="68"/>
      <x:c r="H17" s="68"/>
      <x:c r="I17" s="68"/>
      <x:c r="J17" s="68"/>
      <x:c r="K17" s="68"/>
      <x:c r="L17" s="68" t="str">
        <x:f>IF(OR(COUNTA(D17:I17)&lt;6,COUNTIF(J17:K17,"X")&lt;&gt;1),"",IF(AND(COUNTIF(D17:I17,"APROVADO")=6,J17="X"),"X",""))</x:f>
      </x:c>
      <x:c r="M17" s="69" t="str">
        <x:f>IF(OR(COUNTA(D17:I17)&lt;6,COUNTIF(J17:K17,"X")&lt;&gt;1),"",IF(L17="X","","X"))</x:f>
      </x:c>
    </x:row>
    <x:row r="18" ht="23" customHeight="1">
      <x:c r="A18" s="55" t="n">
        <x:v>11</x:v>
      </x:c>
      <x:c r="B18" s="50" t="str">
        <x:f>IF('1 - Acompanhamento'!B18="","",'1 - Acompanhamento'!B18)</x:f>
      </x:c>
      <x:c r="C18" s="50" t="str">
        <x:f>IF('1 - Acompanhamento'!C18="","",'1 - Acompanhamento'!C18)</x:f>
      </x:c>
      <x:c r="D18" s="57"/>
      <x:c r="E18" s="57"/>
      <x:c r="F18" s="57"/>
      <x:c r="G18" s="57"/>
      <x:c r="H18" s="57"/>
      <x:c r="I18" s="57"/>
      <x:c r="J18" s="57"/>
      <x:c r="K18" s="57"/>
      <x:c r="L18" s="57" t="str">
        <x:f>IF(OR(COUNTA(D18:I18)&lt;6,COUNTIF(J18:K18,"X")&lt;&gt;1),"",IF(AND(COUNTIF(D18:I18,"APROVADO")=6,J18="X"),"X",""))</x:f>
      </x:c>
      <x:c r="M18" s="58" t="str">
        <x:f>IF(OR(COUNTA(D18:I18)&lt;6,COUNTIF(J18:K18,"X")&lt;&gt;1),"",IF(L18="X","","X"))</x:f>
      </x:c>
    </x:row>
    <x:row r="19" ht="23" customHeight="1">
      <x:c r="A19" s="55" t="n">
        <x:v>12</x:v>
      </x:c>
      <x:c r="B19" s="65" t="str">
        <x:f>IF('1 - Acompanhamento'!B19="","",'1 - Acompanhamento'!B19)</x:f>
      </x:c>
      <x:c r="C19" s="65" t="str">
        <x:f>IF('1 - Acompanhamento'!C19="","",'1 - Acompanhamento'!C19)</x:f>
      </x:c>
      <x:c r="D19" s="68"/>
      <x:c r="E19" s="68"/>
      <x:c r="F19" s="68"/>
      <x:c r="G19" s="68"/>
      <x:c r="H19" s="68"/>
      <x:c r="I19" s="68"/>
      <x:c r="J19" s="68"/>
      <x:c r="K19" s="68"/>
      <x:c r="L19" s="68" t="str">
        <x:f>IF(OR(COUNTA(D19:I19)&lt;6,COUNTIF(J19:K19,"X")&lt;&gt;1),"",IF(AND(COUNTIF(D19:I19,"APROVADO")=6,J19="X"),"X",""))</x:f>
      </x:c>
      <x:c r="M19" s="69" t="str">
        <x:f>IF(OR(COUNTA(D19:I19)&lt;6,COUNTIF(J19:K19,"X")&lt;&gt;1),"",IF(L19="X","","X"))</x:f>
      </x:c>
    </x:row>
    <x:row r="20" ht="23" customHeight="1">
      <x:c r="A20" s="55" t="n">
        <x:v>13</x:v>
      </x:c>
      <x:c r="B20" s="50" t="str">
        <x:f>IF('1 - Acompanhamento'!B20="","",'1 - Acompanhamento'!B20)</x:f>
      </x:c>
      <x:c r="C20" s="50" t="str">
        <x:f>IF('1 - Acompanhamento'!C20="","",'1 - Acompanhamento'!C20)</x:f>
      </x:c>
      <x:c r="D20" s="57"/>
      <x:c r="E20" s="57"/>
      <x:c r="F20" s="57"/>
      <x:c r="G20" s="57"/>
      <x:c r="H20" s="57"/>
      <x:c r="I20" s="57"/>
      <x:c r="J20" s="57"/>
      <x:c r="K20" s="57"/>
      <x:c r="L20" s="57" t="str">
        <x:f>IF(OR(COUNTA(D20:I20)&lt;6,COUNTIF(J20:K20,"X")&lt;&gt;1),"",IF(AND(COUNTIF(D20:I20,"APROVADO")=6,J20="X"),"X",""))</x:f>
      </x:c>
      <x:c r="M20" s="58" t="str">
        <x:f>IF(OR(COUNTA(D20:I20)&lt;6,COUNTIF(J20:K20,"X")&lt;&gt;1),"",IF(L20="X","","X"))</x:f>
      </x:c>
    </x:row>
    <x:row r="21" ht="23" customHeight="1">
      <x:c r="A21" s="55" t="n">
        <x:v>14</x:v>
      </x:c>
      <x:c r="B21" s="65" t="str">
        <x:f>IF('1 - Acompanhamento'!B21="","",'1 - Acompanhamento'!B21)</x:f>
      </x:c>
      <x:c r="C21" s="65" t="str">
        <x:f>IF('1 - Acompanhamento'!C21="","",'1 - Acompanhamento'!C21)</x:f>
      </x:c>
      <x:c r="D21" s="68"/>
      <x:c r="E21" s="68"/>
      <x:c r="F21" s="68"/>
      <x:c r="G21" s="68"/>
      <x:c r="H21" s="68"/>
      <x:c r="I21" s="68"/>
      <x:c r="J21" s="68"/>
      <x:c r="K21" s="68"/>
      <x:c r="L21" s="68" t="str">
        <x:f>IF(OR(COUNTA(D21:I21)&lt;6,COUNTIF(J21:K21,"X")&lt;&gt;1),"",IF(AND(COUNTIF(D21:I21,"APROVADO")=6,J21="X"),"X",""))</x:f>
      </x:c>
      <x:c r="M21" s="69" t="str">
        <x:f>IF(OR(COUNTA(D21:I21)&lt;6,COUNTIF(J21:K21,"X")&lt;&gt;1),"",IF(L21="X","","X"))</x:f>
      </x:c>
    </x:row>
    <x:row r="22" ht="23" customHeight="1">
      <x:c r="A22" s="55" t="n">
        <x:v>15</x:v>
      </x:c>
      <x:c r="B22" s="50" t="str">
        <x:f>IF('1 - Acompanhamento'!B22="","",'1 - Acompanhamento'!B22)</x:f>
      </x:c>
      <x:c r="C22" s="50" t="str">
        <x:f>IF('1 - Acompanhamento'!C22="","",'1 - Acompanhamento'!C22)</x:f>
      </x:c>
      <x:c r="D22" s="57"/>
      <x:c r="E22" s="57"/>
      <x:c r="F22" s="57"/>
      <x:c r="G22" s="57"/>
      <x:c r="H22" s="57"/>
      <x:c r="I22" s="57"/>
      <x:c r="J22" s="57"/>
      <x:c r="K22" s="57"/>
      <x:c r="L22" s="57" t="str">
        <x:f>IF(OR(COUNTA(D22:I22)&lt;6,COUNTIF(J22:K22,"X")&lt;&gt;1),"",IF(AND(COUNTIF(D22:I22,"APROVADO")=6,J22="X"),"X",""))</x:f>
      </x:c>
      <x:c r="M22" s="58" t="str">
        <x:f>IF(OR(COUNTA(D22:I22)&lt;6,COUNTIF(J22:K22,"X")&lt;&gt;1),"",IF(L22="X","","X"))</x:f>
      </x:c>
    </x:row>
    <x:row r="23" ht="23" customHeight="1">
      <x:c r="A23" s="55" t="n">
        <x:v>16</x:v>
      </x:c>
      <x:c r="B23" s="65" t="str">
        <x:f>IF('1 - Acompanhamento'!B23="","",'1 - Acompanhamento'!B23)</x:f>
      </x:c>
      <x:c r="C23" s="65" t="str">
        <x:f>IF('1 - Acompanhamento'!C23="","",'1 - Acompanhamento'!C23)</x:f>
      </x:c>
      <x:c r="D23" s="68"/>
      <x:c r="E23" s="68"/>
      <x:c r="F23" s="68"/>
      <x:c r="G23" s="68"/>
      <x:c r="H23" s="68"/>
      <x:c r="I23" s="68"/>
      <x:c r="J23" s="68"/>
      <x:c r="K23" s="68"/>
      <x:c r="L23" s="68" t="str">
        <x:f>IF(OR(COUNTA(D23:I23)&lt;6,COUNTIF(J23:K23,"X")&lt;&gt;1),"",IF(AND(COUNTIF(D23:I23,"APROVADO")=6,J23="X"),"X",""))</x:f>
      </x:c>
      <x:c r="M23" s="69" t="str">
        <x:f>IF(OR(COUNTA(D23:I23)&lt;6,COUNTIF(J23:K23,"X")&lt;&gt;1),"",IF(L23="X","","X"))</x:f>
      </x:c>
    </x:row>
    <x:row r="24" ht="23" customHeight="1">
      <x:c r="A24" s="55" t="n">
        <x:v>17</x:v>
      </x:c>
      <x:c r="B24" s="50" t="str">
        <x:f>IF('1 - Acompanhamento'!B24="","",'1 - Acompanhamento'!B24)</x:f>
      </x:c>
      <x:c r="C24" s="50" t="str">
        <x:f>IF('1 - Acompanhamento'!C24="","",'1 - Acompanhamento'!C24)</x:f>
      </x:c>
      <x:c r="D24" s="57"/>
      <x:c r="E24" s="57"/>
      <x:c r="F24" s="57"/>
      <x:c r="G24" s="57"/>
      <x:c r="H24" s="57"/>
      <x:c r="I24" s="57"/>
      <x:c r="J24" s="57"/>
      <x:c r="K24" s="57"/>
      <x:c r="L24" s="57" t="str">
        <x:f>IF(OR(COUNTA(D24:I24)&lt;6,COUNTIF(J24:K24,"X")&lt;&gt;1),"",IF(AND(COUNTIF(D24:I24,"APROVADO")=6,J24="X"),"X",""))</x:f>
      </x:c>
      <x:c r="M24" s="58" t="str">
        <x:f>IF(OR(COUNTA(D24:I24)&lt;6,COUNTIF(J24:K24,"X")&lt;&gt;1),"",IF(L24="X","","X"))</x:f>
      </x:c>
    </x:row>
    <x:row r="25" ht="23" customHeight="1">
      <x:c r="A25" s="55" t="n">
        <x:v>18</x:v>
      </x:c>
      <x:c r="B25" s="65" t="str">
        <x:f>IF('1 - Acompanhamento'!B25="","",'1 - Acompanhamento'!B25)</x:f>
      </x:c>
      <x:c r="C25" s="65" t="str">
        <x:f>IF('1 - Acompanhamento'!C25="","",'1 - Acompanhamento'!C25)</x:f>
      </x:c>
      <x:c r="D25" s="68"/>
      <x:c r="E25" s="68"/>
      <x:c r="F25" s="68"/>
      <x:c r="G25" s="68"/>
      <x:c r="H25" s="68"/>
      <x:c r="I25" s="68"/>
      <x:c r="J25" s="68"/>
      <x:c r="K25" s="68"/>
      <x:c r="L25" s="68" t="str">
        <x:f>IF(OR(COUNTA(D25:I25)&lt;6,COUNTIF(J25:K25,"X")&lt;&gt;1),"",IF(AND(COUNTIF(D25:I25,"APROVADO")=6,J25="X"),"X",""))</x:f>
      </x:c>
      <x:c r="M25" s="69" t="str">
        <x:f>IF(OR(COUNTA(D25:I25)&lt;6,COUNTIF(J25:K25,"X")&lt;&gt;1),"",IF(L25="X","","X"))</x:f>
      </x:c>
    </x:row>
    <x:row r="26" ht="23" customHeight="1">
      <x:c r="A26" s="55" t="n">
        <x:v>19</x:v>
      </x:c>
      <x:c r="B26" s="50" t="str">
        <x:f>IF('1 - Acompanhamento'!B26="","",'1 - Acompanhamento'!B26)</x:f>
      </x:c>
      <x:c r="C26" s="50" t="str">
        <x:f>IF('1 - Acompanhamento'!C26="","",'1 - Acompanhamento'!C26)</x:f>
      </x:c>
      <x:c r="D26" s="57"/>
      <x:c r="E26" s="57"/>
      <x:c r="F26" s="57"/>
      <x:c r="G26" s="57"/>
      <x:c r="H26" s="57"/>
      <x:c r="I26" s="57"/>
      <x:c r="J26" s="57"/>
      <x:c r="K26" s="57"/>
      <x:c r="L26" s="57" t="str">
        <x:f>IF(OR(COUNTA(D26:I26)&lt;6,COUNTIF(J26:K26,"X")&lt;&gt;1),"",IF(AND(COUNTIF(D26:I26,"APROVADO")=6,J26="X"),"X",""))</x:f>
      </x:c>
      <x:c r="M26" s="58" t="str">
        <x:f>IF(OR(COUNTA(D26:I26)&lt;6,COUNTIF(J26:K26,"X")&lt;&gt;1),"",IF(L26="X","","X"))</x:f>
      </x:c>
    </x:row>
    <x:row r="27" ht="23" customHeight="1">
      <x:c r="A27" s="55" t="n">
        <x:v>20</x:v>
      </x:c>
      <x:c r="B27" s="65" t="str">
        <x:f>IF('1 - Acompanhamento'!B27="","",'1 - Acompanhamento'!B27)</x:f>
      </x:c>
      <x:c r="C27" s="65" t="str">
        <x:f>IF('1 - Acompanhamento'!C27="","",'1 - Acompanhamento'!C27)</x:f>
      </x:c>
      <x:c r="D27" s="68"/>
      <x:c r="E27" s="68"/>
      <x:c r="F27" s="68"/>
      <x:c r="G27" s="68"/>
      <x:c r="H27" s="68"/>
      <x:c r="I27" s="68"/>
      <x:c r="J27" s="68"/>
      <x:c r="K27" s="68"/>
      <x:c r="L27" s="68" t="str">
        <x:f>IF(OR(COUNTA(D27:I27)&lt;6,COUNTIF(J27:K27,"X")&lt;&gt;1),"",IF(AND(COUNTIF(D27:I27,"APROVADO")=6,J27="X"),"X",""))</x:f>
      </x:c>
      <x:c r="M27" s="69" t="str">
        <x:f>IF(OR(COUNTA(D27:I27)&lt;6,COUNTIF(J27:K27,"X")&lt;&gt;1),"",IF(L27="X","","X"))</x:f>
      </x:c>
    </x:row>
    <x:row r="28" ht="23" customHeight="1">
      <x:c r="A28" s="55" t="n">
        <x:v>21</x:v>
      </x:c>
      <x:c r="B28" s="50" t="str">
        <x:f>IF('1 - Acompanhamento'!B28="","",'1 - Acompanhamento'!B28)</x:f>
      </x:c>
      <x:c r="C28" s="50" t="str">
        <x:f>IF('1 - Acompanhamento'!C28="","",'1 - Acompanhamento'!C28)</x:f>
      </x:c>
      <x:c r="D28" s="57"/>
      <x:c r="E28" s="57"/>
      <x:c r="F28" s="57"/>
      <x:c r="G28" s="57"/>
      <x:c r="H28" s="57"/>
      <x:c r="I28" s="57"/>
      <x:c r="J28" s="57"/>
      <x:c r="K28" s="57"/>
      <x:c r="L28" s="57" t="str">
        <x:f>IF(OR(COUNTA(D28:I28)&lt;6,COUNTIF(J28:K28,"X")&lt;&gt;1),"",IF(AND(COUNTIF(D28:I28,"APROVADO")=6,J28="X"),"X",""))</x:f>
      </x:c>
      <x:c r="M28" s="58" t="str">
        <x:f>IF(OR(COUNTA(D28:I28)&lt;6,COUNTIF(J28:K28,"X")&lt;&gt;1),"",IF(L28="X","","X"))</x:f>
      </x:c>
    </x:row>
    <x:row r="29" ht="23" customHeight="1">
      <x:c r="A29" s="55" t="n">
        <x:v>22</x:v>
      </x:c>
      <x:c r="B29" s="65" t="str">
        <x:f>IF('1 - Acompanhamento'!B29="","",'1 - Acompanhamento'!B29)</x:f>
      </x:c>
      <x:c r="C29" s="65" t="str">
        <x:f>IF('1 - Acompanhamento'!C29="","",'1 - Acompanhamento'!C29)</x:f>
      </x:c>
      <x:c r="D29" s="68"/>
      <x:c r="E29" s="68"/>
      <x:c r="F29" s="68"/>
      <x:c r="G29" s="68"/>
      <x:c r="H29" s="68"/>
      <x:c r="I29" s="68"/>
      <x:c r="J29" s="68"/>
      <x:c r="K29" s="68"/>
      <x:c r="L29" s="68" t="str">
        <x:f>IF(OR(COUNTA(D29:I29)&lt;6,COUNTIF(J29:K29,"X")&lt;&gt;1),"",IF(AND(COUNTIF(D29:I29,"APROVADO")=6,J29="X"),"X",""))</x:f>
      </x:c>
      <x:c r="M29" s="69" t="str">
        <x:f>IF(OR(COUNTA(D29:I29)&lt;6,COUNTIF(J29:K29,"X")&lt;&gt;1),"",IF(L29="X","","X"))</x:f>
      </x:c>
    </x:row>
    <x:row r="30" ht="23" customHeight="1">
      <x:c r="A30" s="55" t="n">
        <x:v>23</x:v>
      </x:c>
      <x:c r="B30" s="50" t="str">
        <x:f>IF('1 - Acompanhamento'!B30="","",'1 - Acompanhamento'!B30)</x:f>
      </x:c>
      <x:c r="C30" s="50" t="str">
        <x:f>IF('1 - Acompanhamento'!C30="","",'1 - Acompanhamento'!C30)</x:f>
      </x:c>
      <x:c r="D30" s="57"/>
      <x:c r="E30" s="57"/>
      <x:c r="F30" s="57"/>
      <x:c r="G30" s="57"/>
      <x:c r="H30" s="57"/>
      <x:c r="I30" s="57"/>
      <x:c r="J30" s="57"/>
      <x:c r="K30" s="57"/>
      <x:c r="L30" s="57" t="str">
        <x:f>IF(OR(COUNTA(D30:I30)&lt;6,COUNTIF(J30:K30,"X")&lt;&gt;1),"",IF(AND(COUNTIF(D30:I30,"APROVADO")=6,J30="X"),"X",""))</x:f>
      </x:c>
      <x:c r="M30" s="58" t="str">
        <x:f>IF(OR(COUNTA(D30:I30)&lt;6,COUNTIF(J30:K30,"X")&lt;&gt;1),"",IF(L30="X","","X"))</x:f>
      </x:c>
    </x:row>
    <x:row r="31" ht="23" customHeight="1">
      <x:c r="A31" s="55" t="n">
        <x:v>24</x:v>
      </x:c>
      <x:c r="B31" s="65" t="str">
        <x:f>IF('1 - Acompanhamento'!B31="","",'1 - Acompanhamento'!B31)</x:f>
      </x:c>
      <x:c r="C31" s="65" t="str">
        <x:f>IF('1 - Acompanhamento'!C31="","",'1 - Acompanhamento'!C31)</x:f>
      </x:c>
      <x:c r="D31" s="68"/>
      <x:c r="E31" s="68"/>
      <x:c r="F31" s="68"/>
      <x:c r="G31" s="68"/>
      <x:c r="H31" s="68"/>
      <x:c r="I31" s="68"/>
      <x:c r="J31" s="68"/>
      <x:c r="K31" s="68"/>
      <x:c r="L31" s="68" t="str">
        <x:f>IF(OR(COUNTA(D31:I31)&lt;6,COUNTIF(J31:K31,"X")&lt;&gt;1),"",IF(AND(COUNTIF(D31:I31,"APROVADO")=6,J31="X"),"X",""))</x:f>
      </x:c>
      <x:c r="M31" s="69" t="str">
        <x:f>IF(OR(COUNTA(D31:I31)&lt;6,COUNTIF(J31:K31,"X")&lt;&gt;1),"",IF(L31="X","","X"))</x:f>
      </x:c>
    </x:row>
    <x:row r="32" ht="23" customHeight="1">
      <x:c r="A32" s="55" t="n">
        <x:v>25</x:v>
      </x:c>
      <x:c r="B32" s="50" t="str">
        <x:f>IF('1 - Acompanhamento'!B32="","",'1 - Acompanhamento'!B32)</x:f>
      </x:c>
      <x:c r="C32" s="50" t="str">
        <x:f>IF('1 - Acompanhamento'!C32="","",'1 - Acompanhamento'!C32)</x:f>
      </x:c>
      <x:c r="D32" s="57"/>
      <x:c r="E32" s="57"/>
      <x:c r="F32" s="57"/>
      <x:c r="G32" s="57"/>
      <x:c r="H32" s="57"/>
      <x:c r="I32" s="57"/>
      <x:c r="J32" s="57"/>
      <x:c r="K32" s="57"/>
      <x:c r="L32" s="57" t="str">
        <x:f>IF(OR(COUNTA(D32:I32)&lt;6,COUNTIF(J32:K32,"X")&lt;&gt;1),"",IF(AND(COUNTIF(D32:I32,"APROVADO")=6,J32="X"),"X",""))</x:f>
      </x:c>
      <x:c r="M32" s="58" t="str">
        <x:f>IF(OR(COUNTA(D32:I32)&lt;6,COUNTIF(J32:K32,"X")&lt;&gt;1),"",IF(L32="X","","X"))</x:f>
      </x:c>
    </x:row>
    <x:row r="33" ht="23" customHeight="1">
      <x:c r="A33" s="55" t="n">
        <x:v>26</x:v>
      </x:c>
      <x:c r="B33" s="65" t="str">
        <x:f>IF('1 - Acompanhamento'!B33="","",'1 - Acompanhamento'!B33)</x:f>
      </x:c>
      <x:c r="C33" s="65" t="str">
        <x:f>IF('1 - Acompanhamento'!C33="","",'1 - Acompanhamento'!C33)</x:f>
      </x:c>
      <x:c r="D33" s="68"/>
      <x:c r="E33" s="68"/>
      <x:c r="F33" s="68"/>
      <x:c r="G33" s="68"/>
      <x:c r="H33" s="68"/>
      <x:c r="I33" s="68"/>
      <x:c r="J33" s="68"/>
      <x:c r="K33" s="68"/>
      <x:c r="L33" s="68" t="str">
        <x:f>IF(OR(COUNTA(D33:I33)&lt;6,COUNTIF(J33:K33,"X")&lt;&gt;1),"",IF(AND(COUNTIF(D33:I33,"APROVADO")=6,J33="X"),"X",""))</x:f>
      </x:c>
      <x:c r="M33" s="69" t="str">
        <x:f>IF(OR(COUNTA(D33:I33)&lt;6,COUNTIF(J33:K33,"X")&lt;&gt;1),"",IF(L33="X","","X"))</x:f>
      </x:c>
    </x:row>
    <x:row r="34" ht="23" customHeight="1">
      <x:c r="A34" s="55" t="n">
        <x:v>27</x:v>
      </x:c>
      <x:c r="B34" s="50" t="str">
        <x:f>IF('1 - Acompanhamento'!B34="","",'1 - Acompanhamento'!B34)</x:f>
      </x:c>
      <x:c r="C34" s="50" t="str">
        <x:f>IF('1 - Acompanhamento'!C34="","",'1 - Acompanhamento'!C34)</x:f>
      </x:c>
      <x:c r="D34" s="57"/>
      <x:c r="E34" s="57"/>
      <x:c r="F34" s="57"/>
      <x:c r="G34" s="57"/>
      <x:c r="H34" s="57"/>
      <x:c r="I34" s="57"/>
      <x:c r="J34" s="57"/>
      <x:c r="K34" s="57"/>
      <x:c r="L34" s="57" t="str">
        <x:f>IF(OR(COUNTA(D34:I34)&lt;6,COUNTIF(J34:K34,"X")&lt;&gt;1),"",IF(AND(COUNTIF(D34:I34,"APROVADO")=6,J34="X"),"X",""))</x:f>
      </x:c>
      <x:c r="M34" s="58" t="str">
        <x:f>IF(OR(COUNTA(D34:I34)&lt;6,COUNTIF(J34:K34,"X")&lt;&gt;1),"",IF(L34="X","","X"))</x:f>
      </x:c>
    </x:row>
    <x:row r="35" ht="23" customHeight="1">
      <x:c r="A35" s="55" t="n">
        <x:v>28</x:v>
      </x:c>
      <x:c r="B35" s="65" t="str">
        <x:f>IF('1 - Acompanhamento'!B35="","",'1 - Acompanhamento'!B35)</x:f>
      </x:c>
      <x:c r="C35" s="65" t="str">
        <x:f>IF('1 - Acompanhamento'!C35="","",'1 - Acompanhamento'!C35)</x:f>
      </x:c>
      <x:c r="D35" s="68"/>
      <x:c r="E35" s="68"/>
      <x:c r="F35" s="68"/>
      <x:c r="G35" s="68"/>
      <x:c r="H35" s="68"/>
      <x:c r="I35" s="68"/>
      <x:c r="J35" s="68"/>
      <x:c r="K35" s="68"/>
      <x:c r="L35" s="68" t="str">
        <x:f>IF(OR(COUNTA(D35:I35)&lt;6,COUNTIF(J35:K35,"X")&lt;&gt;1),"",IF(AND(COUNTIF(D35:I35,"APROVADO")=6,J35="X"),"X",""))</x:f>
      </x:c>
      <x:c r="M35" s="69" t="str">
        <x:f>IF(OR(COUNTA(D35:I35)&lt;6,COUNTIF(J35:K35,"X")&lt;&gt;1),"",IF(L35="X","","X"))</x:f>
      </x:c>
    </x:row>
    <x:row r="36" ht="23" customHeight="1">
      <x:c r="A36" s="55" t="n">
        <x:v>29</x:v>
      </x:c>
      <x:c r="B36" s="50" t="str">
        <x:f>IF('1 - Acompanhamento'!B36="","",'1 - Acompanhamento'!B36)</x:f>
      </x:c>
      <x:c r="C36" s="50" t="str">
        <x:f>IF('1 - Acompanhamento'!C36="","",'1 - Acompanhamento'!C36)</x:f>
      </x:c>
      <x:c r="D36" s="57"/>
      <x:c r="E36" s="57"/>
      <x:c r="F36" s="57"/>
      <x:c r="G36" s="57"/>
      <x:c r="H36" s="57"/>
      <x:c r="I36" s="57"/>
      <x:c r="J36" s="57"/>
      <x:c r="K36" s="57"/>
      <x:c r="L36" s="57" t="str">
        <x:f>IF(OR(COUNTA(D36:I36)&lt;6,COUNTIF(J36:K36,"X")&lt;&gt;1),"",IF(AND(COUNTIF(D36:I36,"APROVADO")=6,J36="X"),"X",""))</x:f>
      </x:c>
      <x:c r="M36" s="58" t="str">
        <x:f>IF(OR(COUNTA(D36:I36)&lt;6,COUNTIF(J36:K36,"X")&lt;&gt;1),"",IF(L36="X","","X"))</x:f>
      </x:c>
    </x:row>
    <x:row r="37" ht="23" customHeight="1">
      <x:c r="A37" s="55" t="n">
        <x:v>30</x:v>
      </x:c>
      <x:c r="B37" s="65" t="str">
        <x:f>IF('1 - Acompanhamento'!B37="","",'1 - Acompanhamento'!B37)</x:f>
      </x:c>
      <x:c r="C37" s="65" t="str">
        <x:f>IF('1 - Acompanhamento'!C37="","",'1 - Acompanhamento'!C37)</x:f>
      </x:c>
      <x:c r="D37" s="68"/>
      <x:c r="E37" s="68"/>
      <x:c r="F37" s="68"/>
      <x:c r="G37" s="68"/>
      <x:c r="H37" s="68"/>
      <x:c r="I37" s="68"/>
      <x:c r="J37" s="68"/>
      <x:c r="K37" s="68"/>
      <x:c r="L37" s="68" t="str">
        <x:f>IF(OR(COUNTA(D37:I37)&lt;6,COUNTIF(J37:K37,"X")&lt;&gt;1),"",IF(AND(COUNTIF(D37:I37,"APROVADO")=6,J37="X"),"X",""))</x:f>
      </x:c>
      <x:c r="M37" s="69" t="str">
        <x:f>IF(OR(COUNTA(D37:I37)&lt;6,COUNTIF(J37:K37,"X")&lt;&gt;1),"",IF(L37="X","","X"))</x:f>
      </x:c>
    </x:row>
    <x:row r="39">
      <x:c r="A39" s="79" t="str">
        <x:v>ANOTAÇÕES GERAIS / FINAIS</x:v>
      </x:c>
      <x:c r="B39" s="80" t="str">
        <x:v>ANOTAÇÕES GERAIS / FINAIS</x:v>
      </x:c>
      <x:c r="C39" s="80" t="str">
        <x:v>ANOTAÇÕES GERAIS / FINAIS</x:v>
      </x:c>
      <x:c r="D39" s="80" t="str">
        <x:v>ANOTAÇÕES GERAIS / FINAIS</x:v>
      </x:c>
      <x:c r="E39" s="80" t="str">
        <x:v>ANOTAÇÕES GERAIS / FINAIS</x:v>
      </x:c>
      <x:c r="F39" s="80" t="str">
        <x:v>ANOTAÇÕES GERAIS / FINAIS</x:v>
      </x:c>
      <x:c r="G39" s="80" t="str">
        <x:v>ANOTAÇÕES GERAIS / FINAIS</x:v>
      </x:c>
      <x:c r="H39" s="80" t="str">
        <x:v>ANOTAÇÕES GERAIS / FINAIS</x:v>
      </x:c>
      <x:c r="I39" s="80" t="str">
        <x:v>ANOTAÇÕES GERAIS / FINAIS</x:v>
      </x:c>
      <x:c r="J39" s="80" t="str">
        <x:v>ANOTAÇÕES GERAIS / FINAIS</x:v>
      </x:c>
      <x:c r="K39" s="80" t="str">
        <x:v>ANOTAÇÕES GERAIS / FINAIS</x:v>
      </x:c>
      <x:c r="L39" s="80" t="str">
        <x:v>ANOTAÇÕES GERAIS / FINAIS</x:v>
      </x:c>
      <x:c r="M39" s="81" t="str">
        <x:v>ANOTAÇÕES GERAIS / FINAIS</x:v>
      </x:c>
    </x:row>
    <x:row r="40" ht="24" customHeight="1">
      <x:c r="A40" s="120" t="str">
        <x:v>Digite aqui as anotações gerais e finais da turma.</x:v>
      </x:c>
      <x:c r="B40" s="121" t="str">
        <x:v>Digite aqui as anotações gerais e finais da turma.</x:v>
      </x:c>
      <x:c r="C40" s="121" t="str">
        <x:v>Digite aqui as anotações gerais e finais da turma.</x:v>
      </x:c>
      <x:c r="D40" s="121" t="str">
        <x:v>Digite aqui as anotações gerais e finais da turma.</x:v>
      </x:c>
      <x:c r="E40" s="121" t="str">
        <x:v>Digite aqui as anotações gerais e finais da turma.</x:v>
      </x:c>
      <x:c r="F40" s="121" t="str">
        <x:v>Digite aqui as anotações gerais e finais da turma.</x:v>
      </x:c>
      <x:c r="G40" s="121" t="str">
        <x:v>Digite aqui as anotações gerais e finais da turma.</x:v>
      </x:c>
      <x:c r="H40" s="121" t="str">
        <x:v>Digite aqui as anotações gerais e finais da turma.</x:v>
      </x:c>
      <x:c r="I40" s="121" t="str">
        <x:v>Digite aqui as anotações gerais e finais da turma.</x:v>
      </x:c>
      <x:c r="J40" s="121" t="str">
        <x:v>Digite aqui as anotações gerais e finais da turma.</x:v>
      </x:c>
      <x:c r="K40" s="121" t="str">
        <x:v>Digite aqui as anotações gerais e finais da turma.</x:v>
      </x:c>
      <x:c r="L40" s="121" t="str">
        <x:v>Digite aqui as anotações gerais e finais da turma.</x:v>
      </x:c>
      <x:c r="M40" s="122" t="str">
        <x:v>Digite aqui as anotações gerais e finais da turma.</x:v>
      </x:c>
    </x:row>
    <x:row r="41" ht="24" customHeight="1">
      <x:c r="A41" s="123" t="str">
        <x:v>Digite aqui as anotações gerais e finais da turma.</x:v>
      </x:c>
      <x:c r="B41" s="124" t="str">
        <x:v>Digite aqui as anotações gerais e finais da turma.</x:v>
      </x:c>
      <x:c r="C41" s="124" t="str">
        <x:v>Digite aqui as anotações gerais e finais da turma.</x:v>
      </x:c>
      <x:c r="D41" s="124" t="str">
        <x:v>Digite aqui as anotações gerais e finais da turma.</x:v>
      </x:c>
      <x:c r="E41" s="124" t="str">
        <x:v>Digite aqui as anotações gerais e finais da turma.</x:v>
      </x:c>
      <x:c r="F41" s="124" t="str">
        <x:v>Digite aqui as anotações gerais e finais da turma.</x:v>
      </x:c>
      <x:c r="G41" s="124" t="str">
        <x:v>Digite aqui as anotações gerais e finais da turma.</x:v>
      </x:c>
      <x:c r="H41" s="124" t="str">
        <x:v>Digite aqui as anotações gerais e finais da turma.</x:v>
      </x:c>
      <x:c r="I41" s="124" t="str">
        <x:v>Digite aqui as anotações gerais e finais da turma.</x:v>
      </x:c>
      <x:c r="J41" s="124" t="str">
        <x:v>Digite aqui as anotações gerais e finais da turma.</x:v>
      </x:c>
      <x:c r="K41" s="124" t="str">
        <x:v>Digite aqui as anotações gerais e finais da turma.</x:v>
      </x:c>
      <x:c r="L41" s="124" t="str">
        <x:v>Digite aqui as anotações gerais e finais da turma.</x:v>
      </x:c>
      <x:c r="M41" s="125" t="str">
        <x:v>Digite aqui as anotações gerais e finais da turma.</x:v>
      </x:c>
    </x:row>
    <x:row r="42" ht="24" customHeight="1">
      <x:c r="A42" s="123" t="str">
        <x:v>Digite aqui as anotações gerais e finais da turma.</x:v>
      </x:c>
      <x:c r="B42" s="124" t="str">
        <x:v>Digite aqui as anotações gerais e finais da turma.</x:v>
      </x:c>
      <x:c r="C42" s="124" t="str">
        <x:v>Digite aqui as anotações gerais e finais da turma.</x:v>
      </x:c>
      <x:c r="D42" s="124" t="str">
        <x:v>Digite aqui as anotações gerais e finais da turma.</x:v>
      </x:c>
      <x:c r="E42" s="124" t="str">
        <x:v>Digite aqui as anotações gerais e finais da turma.</x:v>
      </x:c>
      <x:c r="F42" s="124" t="str">
        <x:v>Digite aqui as anotações gerais e finais da turma.</x:v>
      </x:c>
      <x:c r="G42" s="124" t="str">
        <x:v>Digite aqui as anotações gerais e finais da turma.</x:v>
      </x:c>
      <x:c r="H42" s="124" t="str">
        <x:v>Digite aqui as anotações gerais e finais da turma.</x:v>
      </x:c>
      <x:c r="I42" s="124" t="str">
        <x:v>Digite aqui as anotações gerais e finais da turma.</x:v>
      </x:c>
      <x:c r="J42" s="124" t="str">
        <x:v>Digite aqui as anotações gerais e finais da turma.</x:v>
      </x:c>
      <x:c r="K42" s="124" t="str">
        <x:v>Digite aqui as anotações gerais e finais da turma.</x:v>
      </x:c>
      <x:c r="L42" s="124" t="str">
        <x:v>Digite aqui as anotações gerais e finais da turma.</x:v>
      </x:c>
      <x:c r="M42" s="125" t="str">
        <x:v>Digite aqui as anotações gerais e finais da turma.</x:v>
      </x:c>
    </x:row>
    <x:row r="43" ht="24" customHeight="1">
      <x:c r="A43" s="123" t="str">
        <x:v>Digite aqui as anotações gerais e finais da turma.</x:v>
      </x:c>
      <x:c r="B43" s="124" t="str">
        <x:v>Digite aqui as anotações gerais e finais da turma.</x:v>
      </x:c>
      <x:c r="C43" s="124" t="str">
        <x:v>Digite aqui as anotações gerais e finais da turma.</x:v>
      </x:c>
      <x:c r="D43" s="124" t="str">
        <x:v>Digite aqui as anotações gerais e finais da turma.</x:v>
      </x:c>
      <x:c r="E43" s="124" t="str">
        <x:v>Digite aqui as anotações gerais e finais da turma.</x:v>
      </x:c>
      <x:c r="F43" s="124" t="str">
        <x:v>Digite aqui as anotações gerais e finais da turma.</x:v>
      </x:c>
      <x:c r="G43" s="124" t="str">
        <x:v>Digite aqui as anotações gerais e finais da turma.</x:v>
      </x:c>
      <x:c r="H43" s="124" t="str">
        <x:v>Digite aqui as anotações gerais e finais da turma.</x:v>
      </x:c>
      <x:c r="I43" s="124" t="str">
        <x:v>Digite aqui as anotações gerais e finais da turma.</x:v>
      </x:c>
      <x:c r="J43" s="124" t="str">
        <x:v>Digite aqui as anotações gerais e finais da turma.</x:v>
      </x:c>
      <x:c r="K43" s="124" t="str">
        <x:v>Digite aqui as anotações gerais e finais da turma.</x:v>
      </x:c>
      <x:c r="L43" s="124" t="str">
        <x:v>Digite aqui as anotações gerais e finais da turma.</x:v>
      </x:c>
      <x:c r="M43" s="125" t="str">
        <x:v>Digite aqui as anotações gerais e finais da turma.</x:v>
      </x:c>
    </x:row>
    <x:row r="44" ht="24" customHeight="1">
      <x:c r="A44" s="123" t="str">
        <x:v>Digite aqui as anotações gerais e finais da turma.</x:v>
      </x:c>
      <x:c r="B44" s="124" t="str">
        <x:v>Digite aqui as anotações gerais e finais da turma.</x:v>
      </x:c>
      <x:c r="C44" s="124" t="str">
        <x:v>Digite aqui as anotações gerais e finais da turma.</x:v>
      </x:c>
      <x:c r="D44" s="124" t="str">
        <x:v>Digite aqui as anotações gerais e finais da turma.</x:v>
      </x:c>
      <x:c r="E44" s="124" t="str">
        <x:v>Digite aqui as anotações gerais e finais da turma.</x:v>
      </x:c>
      <x:c r="F44" s="124" t="str">
        <x:v>Digite aqui as anotações gerais e finais da turma.</x:v>
      </x:c>
      <x:c r="G44" s="124" t="str">
        <x:v>Digite aqui as anotações gerais e finais da turma.</x:v>
      </x:c>
      <x:c r="H44" s="124" t="str">
        <x:v>Digite aqui as anotações gerais e finais da turma.</x:v>
      </x:c>
      <x:c r="I44" s="124" t="str">
        <x:v>Digite aqui as anotações gerais e finais da turma.</x:v>
      </x:c>
      <x:c r="J44" s="124" t="str">
        <x:v>Digite aqui as anotações gerais e finais da turma.</x:v>
      </x:c>
      <x:c r="K44" s="124" t="str">
        <x:v>Digite aqui as anotações gerais e finais da turma.</x:v>
      </x:c>
      <x:c r="L44" s="124" t="str">
        <x:v>Digite aqui as anotações gerais e finais da turma.</x:v>
      </x:c>
      <x:c r="M44" s="125" t="str">
        <x:v>Digite aqui as anotações gerais e finais da turma.</x:v>
      </x:c>
    </x:row>
    <x:row r="45" ht="24" customHeight="1">
      <x:c r="A45" s="126" t="str">
        <x:v>Digite aqui as anotações gerais e finais da turma.</x:v>
      </x:c>
      <x:c r="B45" s="127" t="str">
        <x:v>Digite aqui as anotações gerais e finais da turma.</x:v>
      </x:c>
      <x:c r="C45" s="127" t="str">
        <x:v>Digite aqui as anotações gerais e finais da turma.</x:v>
      </x:c>
      <x:c r="D45" s="127" t="str">
        <x:v>Digite aqui as anotações gerais e finais da turma.</x:v>
      </x:c>
      <x:c r="E45" s="127" t="str">
        <x:v>Digite aqui as anotações gerais e finais da turma.</x:v>
      </x:c>
      <x:c r="F45" s="127" t="str">
        <x:v>Digite aqui as anotações gerais e finais da turma.</x:v>
      </x:c>
      <x:c r="G45" s="127" t="str">
        <x:v>Digite aqui as anotações gerais e finais da turma.</x:v>
      </x:c>
      <x:c r="H45" s="127" t="str">
        <x:v>Digite aqui as anotações gerais e finais da turma.</x:v>
      </x:c>
      <x:c r="I45" s="127" t="str">
        <x:v>Digite aqui as anotações gerais e finais da turma.</x:v>
      </x:c>
      <x:c r="J45" s="127" t="str">
        <x:v>Digite aqui as anotações gerais e finais da turma.</x:v>
      </x:c>
      <x:c r="K45" s="127" t="str">
        <x:v>Digite aqui as anotações gerais e finais da turma.</x:v>
      </x:c>
      <x:c r="L45" s="127" t="str">
        <x:v>Digite aqui as anotações gerais e finais da turma.</x:v>
      </x:c>
      <x:c r="M45" s="128" t="str">
        <x:v>Digite aqui as anotações gerais e finais da turma.</x:v>
      </x:c>
    </x:row>
  </x:sheetData>
  <x:mergeCells>
    <x:mergeCell ref="A1:M1"/>
    <x:mergeCell ref="A2:B2"/>
    <x:mergeCell ref="A3:B3"/>
    <x:mergeCell ref="G3:H3"/>
    <x:mergeCell ref="K3:L3"/>
    <x:mergeCell ref="C2:M2"/>
    <x:mergeCell ref="C3:F3"/>
    <x:mergeCell ref="I3:J3"/>
    <x:mergeCell ref="A5:M5"/>
    <x:mergeCell ref="A6:A7"/>
    <x:mergeCell ref="B6:B7"/>
    <x:mergeCell ref="C6:C7"/>
    <x:mergeCell ref="D6:I6"/>
    <x:mergeCell ref="J6:K6"/>
    <x:mergeCell ref="L6:M6"/>
    <x:mergeCell ref="A39:M39"/>
    <x:mergeCell ref="A40:M45"/>
  </x:mergeCells>
  <x:conditionalFormatting sqref="D8:I37">
    <x:cfRule type="containsText" dxfId="7" priority="1" operator="containsText" text="APROVADO"/>
    <x:cfRule type="containsText" dxfId="8" priority="2" operator="containsText" text="REPROVADO"/>
    <x:cfRule type="containsText" dxfId="9" priority="3" operator="containsText" text="PENDENTE"/>
  </x:conditionalFormatting>
  <x:conditionalFormatting sqref="J8:J37">
    <x:cfRule type="containsText" dxfId="10" priority="4" operator="containsText" text="X"/>
  </x:conditionalFormatting>
  <x:conditionalFormatting sqref="K8:K37">
    <x:cfRule type="containsText" dxfId="11" priority="5" operator="containsText" text="X"/>
  </x:conditionalFormatting>
  <x:conditionalFormatting sqref="L8:L37">
    <x:cfRule type="containsText" dxfId="12" priority="6" operator="containsText" text="X"/>
  </x:conditionalFormatting>
  <x:conditionalFormatting sqref="M8:M37">
    <x:cfRule type="containsText" dxfId="13" priority="7" operator="containsText" text="X"/>
  </x:conditionalFormatting>
  <x:dataValidations count="2">
    <x:dataValidation type="list" sqref="D8:I37">
      <x:formula1>"APROVADO,REPROVADO,PENDENTE"</x:formula1>
    </x:dataValidation>
    <x:dataValidation type="list" sqref="J8:K37">
      <x:formula1>"X"</x:formula1>
    </x:dataValidation>
  </x:dataValidations>
  <x:pageMargins left="0.7" right="0.7" top="0.75" bottom="0.75" header="0.3" footer="0.3"/>
  <x:legacyDrawing xmlns:r="http://schemas.openxmlformats.org/officeDocument/2006/relationships" r:id="R7f5107826bcc44f8"/>
</x:worksheet>
</file>